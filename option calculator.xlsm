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minimized="1" xWindow="0" yWindow="0" windowWidth="25600" windowHeight="16060" tabRatio="500"/>
  </bookViews>
  <sheets>
    <sheet name="Question 1 currency call option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2" i="1" l="1"/>
  <c r="D21" i="1"/>
  <c r="D20" i="1"/>
  <c r="D19" i="1"/>
  <c r="D18" i="1"/>
  <c r="D17" i="1"/>
  <c r="D16" i="1"/>
</calcChain>
</file>

<file path=xl/sharedStrings.xml><?xml version="1.0" encoding="utf-8"?>
<sst xmlns="http://schemas.openxmlformats.org/spreadsheetml/2006/main" count="26" uniqueCount="25">
  <si>
    <t>SPOT</t>
    <phoneticPr fontId="2" type="noConversion"/>
  </si>
  <si>
    <t>DOMESTIC INTEREST RATE</t>
    <phoneticPr fontId="2" type="noConversion"/>
  </si>
  <si>
    <t>FOREIGN INTEREST RATE</t>
    <phoneticPr fontId="2" type="noConversion"/>
  </si>
  <si>
    <t>VOLATILITY</t>
    <phoneticPr fontId="2" type="noConversion"/>
  </si>
  <si>
    <t>STRIKE</t>
    <phoneticPr fontId="2" type="noConversion"/>
  </si>
  <si>
    <t>TODAY'S DATE</t>
    <phoneticPr fontId="2" type="noConversion"/>
  </si>
  <si>
    <t>OUTPUT</t>
    <phoneticPr fontId="2" type="noConversion"/>
  </si>
  <si>
    <t>VALUE</t>
    <phoneticPr fontId="2" type="noConversion"/>
  </si>
  <si>
    <t>DELTA</t>
    <phoneticPr fontId="2" type="noConversion"/>
  </si>
  <si>
    <t>GAMMA</t>
    <phoneticPr fontId="2" type="noConversion"/>
  </si>
  <si>
    <t>VEGA</t>
    <phoneticPr fontId="2" type="noConversion"/>
  </si>
  <si>
    <t>THETA</t>
    <phoneticPr fontId="2" type="noConversion"/>
  </si>
  <si>
    <t>PHI</t>
    <phoneticPr fontId="2" type="noConversion"/>
  </si>
  <si>
    <t>RHO</t>
    <phoneticPr fontId="2" type="noConversion"/>
  </si>
  <si>
    <t>USER'S INPUT</t>
    <phoneticPr fontId="2" type="noConversion"/>
  </si>
  <si>
    <t>EXPIRATION DATE</t>
    <phoneticPr fontId="2" type="noConversion"/>
  </si>
  <si>
    <t>GRAPH</t>
    <phoneticPr fontId="2" type="noConversion"/>
  </si>
  <si>
    <t>GREEK</t>
    <phoneticPr fontId="2" type="noConversion"/>
  </si>
  <si>
    <t>STARTING SPOT</t>
    <phoneticPr fontId="2" type="noConversion"/>
  </si>
  <si>
    <t>END SPOT</t>
    <phoneticPr fontId="2" type="noConversion"/>
  </si>
  <si>
    <t>NUMBER OF SPOTS</t>
    <phoneticPr fontId="2" type="noConversion"/>
  </si>
  <si>
    <t>RESULT</t>
    <phoneticPr fontId="2" type="noConversion"/>
  </si>
  <si>
    <t>SPOT</t>
    <phoneticPr fontId="2" type="noConversion"/>
  </si>
  <si>
    <t>THETA</t>
  </si>
  <si>
    <t>Homework 1 | Wenzhu Qiu | wq2124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</si>
</sst>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2"/>
      <color theme="10"/>
      <name val="宋体"/>
      <family val="2"/>
      <charset val="134"/>
      <scheme val="minor"/>
    </font>
    <font>
      <u/>
      <sz val="12"/>
      <color theme="11"/>
      <name val="宋体"/>
      <family val="2"/>
      <charset val="134"/>
      <scheme val="minor"/>
    </font>
    <font>
      <sz val="12"/>
      <color rgb="FF3F3F76"/>
      <name val="宋体"/>
      <family val="2"/>
      <charset val="134"/>
      <scheme val="minor"/>
    </font>
    <font>
      <b/>
      <sz val="12"/>
      <color rgb="FF3F3F3F"/>
      <name val="宋体"/>
      <family val="2"/>
      <charset val="134"/>
      <scheme val="minor"/>
    </font>
    <font>
      <b/>
      <sz val="12"/>
      <color theme="5" tint="-0.249977111117893"/>
      <name val="宋体"/>
      <charset val="134"/>
      <scheme val="minor"/>
    </font>
    <font>
      <b/>
      <i/>
      <sz val="12"/>
      <color rgb="FF963634"/>
      <name val="宋体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3F3F3F"/>
      </left>
      <right style="thin">
        <color auto="1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 style="thin">
        <color auto="1"/>
      </right>
      <top style="thin">
        <color rgb="FF3F3F3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</borders>
  <cellStyleXfs count="5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3" borderId="13" applyNumberFormat="0" applyAlignment="0" applyProtection="0"/>
    <xf numFmtId="0" fontId="6" fillId="4" borderId="14" applyNumberFormat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2" borderId="9" xfId="0" applyFill="1" applyBorder="1"/>
    <xf numFmtId="0" fontId="0" fillId="2" borderId="8" xfId="0" applyFill="1" applyBorder="1"/>
    <xf numFmtId="0" fontId="1" fillId="0" borderId="5" xfId="0" applyFont="1" applyBorder="1"/>
    <xf numFmtId="0" fontId="0" fillId="0" borderId="10" xfId="0" applyBorder="1"/>
    <xf numFmtId="0" fontId="0" fillId="2" borderId="12" xfId="0" applyFill="1" applyBorder="1"/>
    <xf numFmtId="0" fontId="6" fillId="4" borderId="14" xfId="46"/>
    <xf numFmtId="0" fontId="5" fillId="3" borderId="13" xfId="45"/>
    <xf numFmtId="9" fontId="5" fillId="3" borderId="13" xfId="45" applyNumberFormat="1"/>
    <xf numFmtId="10" fontId="5" fillId="3" borderId="13" xfId="45" applyNumberFormat="1"/>
    <xf numFmtId="14" fontId="5" fillId="3" borderId="13" xfId="45" applyNumberForma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3" xfId="0" applyFill="1" applyBorder="1"/>
    <xf numFmtId="0" fontId="6" fillId="4" borderId="14" xfId="46" applyBorder="1"/>
    <xf numFmtId="0" fontId="6" fillId="4" borderId="19" xfId="46" applyBorder="1"/>
    <xf numFmtId="0" fontId="0" fillId="0" borderId="20" xfId="0" applyBorder="1"/>
    <xf numFmtId="0" fontId="6" fillId="4" borderId="21" xfId="46" applyBorder="1"/>
    <xf numFmtId="0" fontId="6" fillId="4" borderId="22" xfId="46" applyBorder="1"/>
    <xf numFmtId="0" fontId="5" fillId="3" borderId="23" xfId="45" applyBorder="1" applyAlignment="1">
      <alignment horizontal="right"/>
    </xf>
    <xf numFmtId="0" fontId="5" fillId="3" borderId="23" xfId="45" applyBorder="1"/>
    <xf numFmtId="0" fontId="1" fillId="0" borderId="15" xfId="0" applyFont="1" applyBorder="1"/>
    <xf numFmtId="0" fontId="7" fillId="0" borderId="11" xfId="0" applyFont="1" applyBorder="1" applyAlignment="1"/>
    <xf numFmtId="0" fontId="0" fillId="0" borderId="11" xfId="0" applyBorder="1" applyAlignment="1"/>
  </cellXfs>
  <cellStyles count="53"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7" builtinId="8" hidden="1"/>
    <cellStyle name="超链接" xfId="49" builtinId="8" hidden="1"/>
    <cellStyle name="超链接" xfId="51" builtinId="8" hidden="1"/>
    <cellStyle name="访问过的超链接" xfId="2" builtinId="9" hidden="1"/>
    <cellStyle name="访问过的超链接" xfId="4" builtinId="9" hidden="1"/>
    <cellStyle name="访问过的超链接" xfId="6" builtinId="9" hidden="1"/>
    <cellStyle name="访问过的超链接" xfId="8" builtinId="9" hidden="1"/>
    <cellStyle name="访问过的超链接" xfId="10" builtinId="9" hidden="1"/>
    <cellStyle name="访问过的超链接" xfId="12" builtinId="9" hidden="1"/>
    <cellStyle name="访问过的超链接" xfId="14" builtinId="9" hidden="1"/>
    <cellStyle name="访问过的超链接" xfId="16" builtinId="9" hidden="1"/>
    <cellStyle name="访问过的超链接" xfId="18" builtinId="9" hidden="1"/>
    <cellStyle name="访问过的超链接" xfId="20" builtinId="9" hidden="1"/>
    <cellStyle name="访问过的超链接" xfId="22" builtinId="9" hidden="1"/>
    <cellStyle name="访问过的超链接" xfId="24" builtinId="9" hidden="1"/>
    <cellStyle name="访问过的超链接" xfId="26" builtinId="9" hidden="1"/>
    <cellStyle name="访问过的超链接" xfId="28" builtinId="9" hidden="1"/>
    <cellStyle name="访问过的超链接" xfId="30" builtinId="9" hidden="1"/>
    <cellStyle name="访问过的超链接" xfId="32" builtinId="9" hidden="1"/>
    <cellStyle name="访问过的超链接" xfId="34" builtinId="9" hidden="1"/>
    <cellStyle name="访问过的超链接" xfId="36" builtinId="9" hidden="1"/>
    <cellStyle name="访问过的超链接" xfId="38" builtinId="9" hidden="1"/>
    <cellStyle name="访问过的超链接" xfId="40" builtinId="9" hidden="1"/>
    <cellStyle name="访问过的超链接" xfId="42" builtinId="9" hidden="1"/>
    <cellStyle name="访问过的超链接" xfId="44" builtinId="9" hidden="1"/>
    <cellStyle name="访问过的超链接" xfId="48" builtinId="9" hidden="1"/>
    <cellStyle name="访问过的超链接" xfId="50" builtinId="9" hidden="1"/>
    <cellStyle name="访问过的超链接" xfId="52" builtinId="9" hidden="1"/>
    <cellStyle name="普通" xfId="0" builtinId="0"/>
    <cellStyle name="输出" xfId="46" builtinId="21"/>
    <cellStyle name="输入" xfId="45" builtinId="2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'Question 1 currency call option'!$D$34</c:f>
              <c:strCache>
                <c:ptCount val="1"/>
                <c:pt idx="0">
                  <c:v>GREEK</c:v>
                </c:pt>
              </c:strCache>
            </c:strRef>
          </c:tx>
          <c:marker>
            <c:symbol val="none"/>
          </c:marker>
          <c:xVal>
            <c:numRef>
              <c:f>'Question 1 currency call option'!$C$35:$C$135</c:f>
              <c:numCache>
                <c:formatCode>General</c:formatCode>
                <c:ptCount val="101"/>
                <c:pt idx="0">
                  <c:v>100.0</c:v>
                </c:pt>
                <c:pt idx="1">
                  <c:v>100.5</c:v>
                </c:pt>
                <c:pt idx="2">
                  <c:v>101.0</c:v>
                </c:pt>
                <c:pt idx="3">
                  <c:v>101.5</c:v>
                </c:pt>
                <c:pt idx="4">
                  <c:v>102.0</c:v>
                </c:pt>
                <c:pt idx="5">
                  <c:v>102.5</c:v>
                </c:pt>
                <c:pt idx="6">
                  <c:v>103.0</c:v>
                </c:pt>
                <c:pt idx="7">
                  <c:v>103.5</c:v>
                </c:pt>
                <c:pt idx="8">
                  <c:v>104.0</c:v>
                </c:pt>
                <c:pt idx="9">
                  <c:v>104.5</c:v>
                </c:pt>
                <c:pt idx="10">
                  <c:v>105.0</c:v>
                </c:pt>
                <c:pt idx="11">
                  <c:v>105.5</c:v>
                </c:pt>
                <c:pt idx="12">
                  <c:v>106.0</c:v>
                </c:pt>
                <c:pt idx="13">
                  <c:v>106.5</c:v>
                </c:pt>
                <c:pt idx="14">
                  <c:v>107.0</c:v>
                </c:pt>
                <c:pt idx="15">
                  <c:v>107.5</c:v>
                </c:pt>
                <c:pt idx="16">
                  <c:v>108.0</c:v>
                </c:pt>
                <c:pt idx="17">
                  <c:v>108.5</c:v>
                </c:pt>
                <c:pt idx="18">
                  <c:v>109.0</c:v>
                </c:pt>
                <c:pt idx="19">
                  <c:v>109.5</c:v>
                </c:pt>
                <c:pt idx="20">
                  <c:v>110.0</c:v>
                </c:pt>
                <c:pt idx="21">
                  <c:v>110.5</c:v>
                </c:pt>
                <c:pt idx="22">
                  <c:v>111.0</c:v>
                </c:pt>
                <c:pt idx="23">
                  <c:v>111.5</c:v>
                </c:pt>
                <c:pt idx="24">
                  <c:v>112.0</c:v>
                </c:pt>
                <c:pt idx="25">
                  <c:v>112.5</c:v>
                </c:pt>
                <c:pt idx="26">
                  <c:v>113.0</c:v>
                </c:pt>
                <c:pt idx="27">
                  <c:v>113.5</c:v>
                </c:pt>
                <c:pt idx="28">
                  <c:v>114.0</c:v>
                </c:pt>
                <c:pt idx="29">
                  <c:v>114.5</c:v>
                </c:pt>
                <c:pt idx="30">
                  <c:v>115.0</c:v>
                </c:pt>
                <c:pt idx="31">
                  <c:v>115.5</c:v>
                </c:pt>
                <c:pt idx="32">
                  <c:v>116.0</c:v>
                </c:pt>
                <c:pt idx="33">
                  <c:v>116.5</c:v>
                </c:pt>
                <c:pt idx="34">
                  <c:v>117.0</c:v>
                </c:pt>
                <c:pt idx="35">
                  <c:v>117.5</c:v>
                </c:pt>
                <c:pt idx="36">
                  <c:v>118.0</c:v>
                </c:pt>
                <c:pt idx="37">
                  <c:v>118.5</c:v>
                </c:pt>
                <c:pt idx="38">
                  <c:v>119.0</c:v>
                </c:pt>
                <c:pt idx="39">
                  <c:v>119.5</c:v>
                </c:pt>
                <c:pt idx="40">
                  <c:v>120.0</c:v>
                </c:pt>
                <c:pt idx="41">
                  <c:v>120.5</c:v>
                </c:pt>
                <c:pt idx="42">
                  <c:v>121.0</c:v>
                </c:pt>
                <c:pt idx="43">
                  <c:v>121.5</c:v>
                </c:pt>
                <c:pt idx="44">
                  <c:v>122.0</c:v>
                </c:pt>
                <c:pt idx="45">
                  <c:v>122.5</c:v>
                </c:pt>
                <c:pt idx="46">
                  <c:v>123.0</c:v>
                </c:pt>
                <c:pt idx="47">
                  <c:v>123.5</c:v>
                </c:pt>
                <c:pt idx="48">
                  <c:v>124.0</c:v>
                </c:pt>
                <c:pt idx="49">
                  <c:v>124.5</c:v>
                </c:pt>
                <c:pt idx="50">
                  <c:v>125.0</c:v>
                </c:pt>
                <c:pt idx="51">
                  <c:v>125.5</c:v>
                </c:pt>
                <c:pt idx="52">
                  <c:v>126.0</c:v>
                </c:pt>
                <c:pt idx="53">
                  <c:v>126.5</c:v>
                </c:pt>
                <c:pt idx="54">
                  <c:v>127.0</c:v>
                </c:pt>
                <c:pt idx="55">
                  <c:v>127.5</c:v>
                </c:pt>
                <c:pt idx="56">
                  <c:v>128.0</c:v>
                </c:pt>
                <c:pt idx="57">
                  <c:v>128.5</c:v>
                </c:pt>
                <c:pt idx="58">
                  <c:v>129.0</c:v>
                </c:pt>
                <c:pt idx="59">
                  <c:v>129.5</c:v>
                </c:pt>
                <c:pt idx="60">
                  <c:v>130.0</c:v>
                </c:pt>
                <c:pt idx="61">
                  <c:v>130.5</c:v>
                </c:pt>
                <c:pt idx="62">
                  <c:v>131.0</c:v>
                </c:pt>
                <c:pt idx="63">
                  <c:v>131.5</c:v>
                </c:pt>
                <c:pt idx="64">
                  <c:v>132.0</c:v>
                </c:pt>
                <c:pt idx="65">
                  <c:v>132.5</c:v>
                </c:pt>
                <c:pt idx="66">
                  <c:v>133.0</c:v>
                </c:pt>
                <c:pt idx="67">
                  <c:v>133.5</c:v>
                </c:pt>
                <c:pt idx="68">
                  <c:v>134.0</c:v>
                </c:pt>
                <c:pt idx="69">
                  <c:v>134.5</c:v>
                </c:pt>
                <c:pt idx="70">
                  <c:v>135.0</c:v>
                </c:pt>
                <c:pt idx="71">
                  <c:v>135.5</c:v>
                </c:pt>
                <c:pt idx="72">
                  <c:v>136.0</c:v>
                </c:pt>
                <c:pt idx="73">
                  <c:v>136.5</c:v>
                </c:pt>
                <c:pt idx="74">
                  <c:v>137.0</c:v>
                </c:pt>
                <c:pt idx="75">
                  <c:v>137.5</c:v>
                </c:pt>
                <c:pt idx="76">
                  <c:v>138.0</c:v>
                </c:pt>
                <c:pt idx="77">
                  <c:v>138.5</c:v>
                </c:pt>
                <c:pt idx="78">
                  <c:v>139.0</c:v>
                </c:pt>
                <c:pt idx="79">
                  <c:v>139.5</c:v>
                </c:pt>
                <c:pt idx="80">
                  <c:v>140.0</c:v>
                </c:pt>
                <c:pt idx="81">
                  <c:v>140.5</c:v>
                </c:pt>
                <c:pt idx="82">
                  <c:v>141.0</c:v>
                </c:pt>
                <c:pt idx="83">
                  <c:v>141.5</c:v>
                </c:pt>
                <c:pt idx="84">
                  <c:v>142.0</c:v>
                </c:pt>
                <c:pt idx="85">
                  <c:v>142.5</c:v>
                </c:pt>
                <c:pt idx="86">
                  <c:v>143.0</c:v>
                </c:pt>
                <c:pt idx="87">
                  <c:v>143.5</c:v>
                </c:pt>
                <c:pt idx="88">
                  <c:v>144.0</c:v>
                </c:pt>
                <c:pt idx="89">
                  <c:v>144.5</c:v>
                </c:pt>
                <c:pt idx="90">
                  <c:v>145.0</c:v>
                </c:pt>
                <c:pt idx="91">
                  <c:v>145.5</c:v>
                </c:pt>
                <c:pt idx="92">
                  <c:v>146.0</c:v>
                </c:pt>
                <c:pt idx="93">
                  <c:v>146.5</c:v>
                </c:pt>
                <c:pt idx="94">
                  <c:v>147.0</c:v>
                </c:pt>
                <c:pt idx="95">
                  <c:v>147.5</c:v>
                </c:pt>
                <c:pt idx="96">
                  <c:v>148.0</c:v>
                </c:pt>
                <c:pt idx="97">
                  <c:v>148.5</c:v>
                </c:pt>
                <c:pt idx="98">
                  <c:v>149.0</c:v>
                </c:pt>
                <c:pt idx="99">
                  <c:v>149.5</c:v>
                </c:pt>
                <c:pt idx="100">
                  <c:v>150.0</c:v>
                </c:pt>
              </c:numCache>
            </c:numRef>
          </c:xVal>
          <c:yVal>
            <c:numRef>
              <c:f>'Question 1 currency call option'!$D$35:$D$135</c:f>
              <c:numCache>
                <c:formatCode>General</c:formatCode>
                <c:ptCount val="101"/>
                <c:pt idx="0">
                  <c:v>-0.00518509286685944</c:v>
                </c:pt>
                <c:pt idx="1">
                  <c:v>-0.00740760364712747</c:v>
                </c:pt>
                <c:pt idx="2">
                  <c:v>-0.0104597303707949</c:v>
                </c:pt>
                <c:pt idx="3">
                  <c:v>-0.0145999734485376</c:v>
                </c:pt>
                <c:pt idx="4">
                  <c:v>-0.0201482900826211</c:v>
                </c:pt>
                <c:pt idx="5">
                  <c:v>-0.0274943249110492</c:v>
                </c:pt>
                <c:pt idx="6">
                  <c:v>-0.0371047315288106</c:v>
                </c:pt>
                <c:pt idx="7">
                  <c:v>-0.0495288171853443</c:v>
                </c:pt>
                <c:pt idx="8">
                  <c:v>-0.0654016226371483</c:v>
                </c:pt>
                <c:pt idx="9">
                  <c:v>-0.0854434650026755</c:v>
                </c:pt>
                <c:pt idx="10">
                  <c:v>-0.110454941154202</c:v>
                </c:pt>
                <c:pt idx="11">
                  <c:v>-0.141306429664184</c:v>
                </c:pt>
                <c:pt idx="12">
                  <c:v>-0.178921254953123</c:v>
                </c:pt>
                <c:pt idx="13">
                  <c:v>-0.224251897666332</c:v>
                </c:pt>
                <c:pt idx="14">
                  <c:v>-0.27824895324844</c:v>
                </c:pt>
                <c:pt idx="15">
                  <c:v>-0.341822950494659</c:v>
                </c:pt>
                <c:pt idx="16">
                  <c:v>-0.415799628243372</c:v>
                </c:pt>
                <c:pt idx="17">
                  <c:v>-0.500869806189888</c:v>
                </c:pt>
                <c:pt idx="18">
                  <c:v>-0.59753554081847</c:v>
                </c:pt>
                <c:pt idx="19">
                  <c:v>-0.706054788221766</c:v>
                </c:pt>
                <c:pt idx="20">
                  <c:v>-0.826387256337617</c:v>
                </c:pt>
                <c:pt idx="21">
                  <c:v>-0.958144473553767</c:v>
                </c:pt>
                <c:pt idx="22">
                  <c:v>-1.10054728611316</c:v>
                </c:pt>
                <c:pt idx="23">
                  <c:v>-1.252393988854312</c:v>
                </c:pt>
                <c:pt idx="24">
                  <c:v>-1.41204207034088</c:v>
                </c:pt>
                <c:pt idx="25">
                  <c:v>-1.577406107680393</c:v>
                </c:pt>
                <c:pt idx="26">
                  <c:v>-1.745973689161411</c:v>
                </c:pt>
                <c:pt idx="27">
                  <c:v>-1.914840403150208</c:v>
                </c:pt>
                <c:pt idx="28">
                  <c:v>-2.080763955217402</c:v>
                </c:pt>
                <c:pt idx="29">
                  <c:v>-2.240236421899065</c:v>
                </c:pt>
                <c:pt idx="30">
                  <c:v>-2.389572588121939</c:v>
                </c:pt>
                <c:pt idx="31">
                  <c:v>-2.525011319582912</c:v>
                </c:pt>
                <c:pt idx="32">
                  <c:v>-2.642826062841782</c:v>
                </c:pt>
                <c:pt idx="33">
                  <c:v>-2.739439908236351</c:v>
                </c:pt>
                <c:pt idx="34">
                  <c:v>-2.811540244287707</c:v>
                </c:pt>
                <c:pt idx="35">
                  <c:v>-2.856187909688613</c:v>
                </c:pt>
                <c:pt idx="36">
                  <c:v>-2.870915922459755</c:v>
                </c:pt>
                <c:pt idx="37">
                  <c:v>-2.853813326165279</c:v>
                </c:pt>
                <c:pt idx="38">
                  <c:v>-2.80359041036776</c:v>
                </c:pt>
                <c:pt idx="39">
                  <c:v>-2.719622488979058</c:v>
                </c:pt>
                <c:pt idx="40">
                  <c:v>-2.601970494149413</c:v>
                </c:pt>
                <c:pt idx="41">
                  <c:v>-2.451377794393431</c:v>
                </c:pt>
                <c:pt idx="42">
                  <c:v>-2.269243800233944</c:v>
                </c:pt>
                <c:pt idx="43">
                  <c:v>-2.057576007768392</c:v>
                </c:pt>
                <c:pt idx="44">
                  <c:v>-1.818923086973127</c:v>
                </c:pt>
                <c:pt idx="45">
                  <c:v>-1.556292395986889</c:v>
                </c:pt>
                <c:pt idx="46">
                  <c:v>-1.273055858793866</c:v>
                </c:pt>
                <c:pt idx="47">
                  <c:v>-0.972848462036344</c:v>
                </c:pt>
                <c:pt idx="48">
                  <c:v>-0.659463704345588</c:v>
                </c:pt>
                <c:pt idx="49">
                  <c:v>-0.33675018152698</c:v>
                </c:pt>
                <c:pt idx="50">
                  <c:v>-0.00851313959521971</c:v>
                </c:pt>
                <c:pt idx="51">
                  <c:v>0.321575688113645</c:v>
                </c:pt>
                <c:pt idx="52">
                  <c:v>0.650057279977912</c:v>
                </c:pt>
                <c:pt idx="53">
                  <c:v>0.97375159168329</c:v>
                </c:pt>
                <c:pt idx="54">
                  <c:v>1.289809656077444</c:v>
                </c:pt>
                <c:pt idx="55">
                  <c:v>1.595751006190368</c:v>
                </c:pt>
                <c:pt idx="56">
                  <c:v>1.889486578124928</c:v>
                </c:pt>
                <c:pt idx="57">
                  <c:v>2.16932783525696</c:v>
                </c:pt>
                <c:pt idx="58">
                  <c:v>2.433983335799806</c:v>
                </c:pt>
                <c:pt idx="59">
                  <c:v>2.682544330069661</c:v>
                </c:pt>
                <c:pt idx="60">
                  <c:v>2.914461217936391</c:v>
                </c:pt>
                <c:pt idx="61">
                  <c:v>3.129512824626711</c:v>
                </c:pt>
                <c:pt idx="62">
                  <c:v>3.327770474073065</c:v>
                </c:pt>
                <c:pt idx="63">
                  <c:v>3.509558767784667</c:v>
                </c:pt>
                <c:pt idx="64">
                  <c:v>3.675414831161506</c:v>
                </c:pt>
                <c:pt idx="65">
                  <c:v>3.826047587126871</c:v>
                </c:pt>
                <c:pt idx="66">
                  <c:v>3.96229837782238</c:v>
                </c:pt>
                <c:pt idx="67">
                  <c:v>4.08510399669905</c:v>
                </c:pt>
                <c:pt idx="68">
                  <c:v>4.195462931478459</c:v>
                </c:pt>
                <c:pt idx="69">
                  <c:v>4.294405366410614</c:v>
                </c:pt>
                <c:pt idx="70">
                  <c:v>4.382967260392959</c:v>
                </c:pt>
                <c:pt idx="71">
                  <c:v>4.462168613251062</c:v>
                </c:pt>
                <c:pt idx="72">
                  <c:v>4.532995860396427</c:v>
                </c:pt>
                <c:pt idx="73">
                  <c:v>4.59638819820091</c:v>
                </c:pt>
                <c:pt idx="74">
                  <c:v>4.653227538626204</c:v>
                </c:pt>
                <c:pt idx="75">
                  <c:v>4.704331720061999</c:v>
                </c:pt>
                <c:pt idx="76">
                  <c:v>4.750450558832425</c:v>
                </c:pt>
                <c:pt idx="77">
                  <c:v>4.792264308470658</c:v>
                </c:pt>
                <c:pt idx="78">
                  <c:v>4.83038409724485</c:v>
                </c:pt>
                <c:pt idx="79">
                  <c:v>4.865353934051489</c:v>
                </c:pt>
                <c:pt idx="80">
                  <c:v>4.897653904348512</c:v>
                </c:pt>
                <c:pt idx="81">
                  <c:v>4.927704217315377</c:v>
                </c:pt>
                <c:pt idx="82">
                  <c:v>4.95586980943177</c:v>
                </c:pt>
                <c:pt idx="83">
                  <c:v>4.982465255256475</c:v>
                </c:pt>
                <c:pt idx="84">
                  <c:v>5.007759781048348</c:v>
                </c:pt>
                <c:pt idx="85">
                  <c:v>5.031982219259148</c:v>
                </c:pt>
                <c:pt idx="86">
                  <c:v>5.055325780626194</c:v>
                </c:pt>
                <c:pt idx="87">
                  <c:v>5.077952554848125</c:v>
                </c:pt>
                <c:pt idx="88">
                  <c:v>5.099997680273046</c:v>
                </c:pt>
                <c:pt idx="89">
                  <c:v>5.121573147611517</c:v>
                </c:pt>
                <c:pt idx="90">
                  <c:v>5.142771222588061</c:v>
                </c:pt>
                <c:pt idx="91">
                  <c:v>5.16366748801372</c:v>
                </c:pt>
                <c:pt idx="92">
                  <c:v>5.184323517454341</c:v>
                </c:pt>
                <c:pt idx="93">
                  <c:v>5.204789200998075</c:v>
                </c:pt>
                <c:pt idx="94">
                  <c:v>5.225104749120519</c:v>
                </c:pt>
                <c:pt idx="95">
                  <c:v>5.245302403823724</c:v>
                </c:pt>
                <c:pt idx="96">
                  <c:v>5.265407887567123</c:v>
                </c:pt>
                <c:pt idx="97">
                  <c:v>5.285441620447585</c:v>
                </c:pt>
                <c:pt idx="98">
                  <c:v>5.305419734998787</c:v>
                </c:pt>
                <c:pt idx="99">
                  <c:v>5.325354916185578</c:v>
                </c:pt>
                <c:pt idx="100">
                  <c:v>5.345257091927864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3402296"/>
        <c:axId val="-2112461608"/>
      </c:scatterChart>
      <c:valAx>
        <c:axId val="-210340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2461608"/>
        <c:crosses val="autoZero"/>
        <c:crossBetween val="midCat"/>
      </c:valAx>
      <c:valAx>
        <c:axId val="-2112461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3402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28</xdr:row>
          <xdr:rowOff>177800</xdr:rowOff>
        </xdr:from>
        <xdr:to>
          <xdr:col>4</xdr:col>
          <xdr:colOff>12700</xdr:colOff>
          <xdr:row>30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200" b="1" i="1" u="none" strike="noStrike" baseline="0">
                  <a:solidFill>
                    <a:srgbClr val="963634"/>
                  </a:solidFill>
                  <a:latin typeface="宋体"/>
                  <a:ea typeface="宋体"/>
                  <a:cs typeface="宋体"/>
                </a:rPr>
                <a:t>CALCULATE &amp; 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1066800</xdr:colOff>
      <xdr:row>13</xdr:row>
      <xdr:rowOff>101600</xdr:rowOff>
    </xdr:from>
    <xdr:to>
      <xdr:col>10</xdr:col>
      <xdr:colOff>12700</xdr:colOff>
      <xdr:row>27</xdr:row>
      <xdr:rowOff>177800</xdr:rowOff>
    </xdr:to>
    <xdr:graphicFrame macro="">
      <xdr:nvGraphicFramePr>
        <xdr:cNvPr id="27" name="图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D193"/>
  <sheetViews>
    <sheetView tabSelected="1" workbookViewId="0">
      <selection activeCell="F9" sqref="F9"/>
    </sheetView>
  </sheetViews>
  <sheetFormatPr baseColWidth="10" defaultRowHeight="15" x14ac:dyDescent="0"/>
  <cols>
    <col min="2" max="2" width="14.5" customWidth="1"/>
    <col min="3" max="4" width="24.6640625" customWidth="1"/>
    <col min="5" max="5" width="15.83203125" customWidth="1"/>
    <col min="6" max="6" width="15.1640625" customWidth="1"/>
    <col min="7" max="7" width="15.33203125" customWidth="1"/>
    <col min="8" max="9" width="24.6640625" customWidth="1"/>
    <col min="10" max="10" width="22.6640625" customWidth="1"/>
  </cols>
  <sheetData>
    <row r="1" spans="1:4" ht="16" thickBot="1">
      <c r="A1" s="28" t="s">
        <v>24</v>
      </c>
      <c r="B1" s="29"/>
      <c r="C1" s="29"/>
    </row>
    <row r="2" spans="1:4" ht="16" thickTop="1"/>
    <row r="4" spans="1:4">
      <c r="B4" s="8" t="s">
        <v>14</v>
      </c>
      <c r="C4" s="1"/>
      <c r="D4" s="2"/>
    </row>
    <row r="5" spans="1:4">
      <c r="B5" s="4"/>
      <c r="C5" s="6" t="s">
        <v>0</v>
      </c>
      <c r="D5" s="12">
        <v>120</v>
      </c>
    </row>
    <row r="6" spans="1:4">
      <c r="B6" s="4"/>
      <c r="C6" s="6" t="s">
        <v>1</v>
      </c>
      <c r="D6" s="14">
        <v>5.0000000000000001E-3</v>
      </c>
    </row>
    <row r="7" spans="1:4">
      <c r="B7" s="4"/>
      <c r="C7" s="6" t="s">
        <v>2</v>
      </c>
      <c r="D7" s="14">
        <v>0.04</v>
      </c>
    </row>
    <row r="8" spans="1:4">
      <c r="B8" s="4"/>
      <c r="C8" s="6" t="s">
        <v>3</v>
      </c>
      <c r="D8" s="13">
        <v>0.1</v>
      </c>
    </row>
    <row r="9" spans="1:4">
      <c r="B9" s="4"/>
      <c r="C9" s="6" t="s">
        <v>4</v>
      </c>
      <c r="D9" s="12">
        <v>119</v>
      </c>
    </row>
    <row r="10" spans="1:4">
      <c r="B10" s="4"/>
      <c r="C10" s="6" t="s">
        <v>5</v>
      </c>
      <c r="D10" s="15">
        <v>42048</v>
      </c>
    </row>
    <row r="11" spans="1:4">
      <c r="B11" s="5"/>
      <c r="C11" s="7" t="s">
        <v>15</v>
      </c>
      <c r="D11" s="15">
        <v>42140</v>
      </c>
    </row>
    <row r="15" spans="1:4">
      <c r="B15" s="8" t="s">
        <v>6</v>
      </c>
      <c r="C15" s="1"/>
      <c r="D15" s="2"/>
    </row>
    <row r="16" spans="1:4">
      <c r="B16" s="4"/>
      <c r="C16" s="6" t="s">
        <v>7</v>
      </c>
      <c r="D16" s="11">
        <f>BS_c(D5,D9,(D11-D10)/365,D6,D7,D8)</f>
        <v>2.3527938959469381</v>
      </c>
    </row>
    <row r="17" spans="2:4">
      <c r="B17" s="4"/>
      <c r="C17" s="6" t="s">
        <v>8</v>
      </c>
      <c r="D17" s="11">
        <f>Delta_c(D5,D9,(D11-D10)/365,D6,D7,D8)</f>
        <v>0.50132915842633941</v>
      </c>
    </row>
    <row r="18" spans="2:4">
      <c r="B18" s="4"/>
      <c r="C18" s="6" t="s">
        <v>9</v>
      </c>
      <c r="D18" s="11">
        <f>Gamma_c(D5,D9,(D11-D10)/365,D6,D7,D8)</f>
        <v>6.5546068458607984E-2</v>
      </c>
    </row>
    <row r="19" spans="2:4">
      <c r="B19" s="4"/>
      <c r="C19" s="6" t="s">
        <v>10</v>
      </c>
      <c r="D19" s="11">
        <f>vega_c(D5,D9,(D11-D10)/365,D6,D7,D8)</f>
        <v>23.790529176428461</v>
      </c>
    </row>
    <row r="20" spans="2:4">
      <c r="B20" s="4"/>
      <c r="C20" s="6" t="s">
        <v>11</v>
      </c>
      <c r="D20" s="11">
        <f>theta_c(D5,D9,(D11-D10)/365,D6,D7,D8)</f>
        <v>-2.6019704941494135</v>
      </c>
    </row>
    <row r="21" spans="2:4">
      <c r="B21" s="4"/>
      <c r="C21" s="6" t="s">
        <v>12</v>
      </c>
      <c r="D21" s="11">
        <f>phi_c(D5,D9,(D11-D10)/365,D6,D7,D8)</f>
        <v>-14.563848526731913</v>
      </c>
    </row>
    <row r="22" spans="2:4">
      <c r="B22" s="5"/>
      <c r="C22" s="7" t="s">
        <v>13</v>
      </c>
      <c r="D22" s="11">
        <f>rho_c(D5,D9,(D11-D10)/365,D6,D7,D8)</f>
        <v>14.570457179725119</v>
      </c>
    </row>
    <row r="25" spans="2:4">
      <c r="B25" s="8" t="s">
        <v>16</v>
      </c>
      <c r="C25" s="1"/>
      <c r="D25" s="2"/>
    </row>
    <row r="26" spans="2:4">
      <c r="B26" s="4"/>
      <c r="C26" s="6" t="s">
        <v>17</v>
      </c>
      <c r="D26" s="25" t="s">
        <v>23</v>
      </c>
    </row>
    <row r="27" spans="2:4">
      <c r="B27" s="4"/>
      <c r="C27" s="6" t="s">
        <v>18</v>
      </c>
      <c r="D27" s="26">
        <v>100</v>
      </c>
    </row>
    <row r="28" spans="2:4">
      <c r="B28" s="4"/>
      <c r="C28" s="6" t="s">
        <v>19</v>
      </c>
      <c r="D28" s="26">
        <v>150</v>
      </c>
    </row>
    <row r="29" spans="2:4">
      <c r="B29" s="4"/>
      <c r="C29" s="6" t="s">
        <v>20</v>
      </c>
      <c r="D29" s="26">
        <v>99</v>
      </c>
    </row>
    <row r="30" spans="2:4">
      <c r="B30" s="5"/>
      <c r="C30" s="9"/>
      <c r="D30" s="3"/>
    </row>
    <row r="33" spans="2:4" ht="16" thickBot="1">
      <c r="B33" s="27" t="s">
        <v>21</v>
      </c>
      <c r="C33" s="16"/>
      <c r="D33" s="17"/>
    </row>
    <row r="34" spans="2:4" ht="16" thickTop="1">
      <c r="B34" s="18"/>
      <c r="C34" s="10" t="s">
        <v>22</v>
      </c>
      <c r="D34" s="19" t="s">
        <v>17</v>
      </c>
    </row>
    <row r="35" spans="2:4">
      <c r="B35" s="18"/>
      <c r="C35" s="20">
        <v>100</v>
      </c>
      <c r="D35" s="21">
        <v>-5.185092866859445E-3</v>
      </c>
    </row>
    <row r="36" spans="2:4">
      <c r="B36" s="18"/>
      <c r="C36" s="20">
        <v>100.5</v>
      </c>
      <c r="D36" s="21">
        <v>-7.4076036471274745E-3</v>
      </c>
    </row>
    <row r="37" spans="2:4">
      <c r="B37" s="18"/>
      <c r="C37" s="20">
        <v>101</v>
      </c>
      <c r="D37" s="21">
        <v>-1.0459730370794932E-2</v>
      </c>
    </row>
    <row r="38" spans="2:4">
      <c r="B38" s="18"/>
      <c r="C38" s="20">
        <v>101.5</v>
      </c>
      <c r="D38" s="21">
        <v>-1.4599973448537591E-2</v>
      </c>
    </row>
    <row r="39" spans="2:4">
      <c r="B39" s="18"/>
      <c r="C39" s="20">
        <v>102</v>
      </c>
      <c r="D39" s="21">
        <v>-2.0148290082621083E-2</v>
      </c>
    </row>
    <row r="40" spans="2:4">
      <c r="B40" s="18"/>
      <c r="C40" s="20">
        <v>102.5</v>
      </c>
      <c r="D40" s="21">
        <v>-2.7494324911049174E-2</v>
      </c>
    </row>
    <row r="41" spans="2:4">
      <c r="B41" s="18"/>
      <c r="C41" s="20">
        <v>103</v>
      </c>
      <c r="D41" s="21">
        <v>-3.7104731528810629E-2</v>
      </c>
    </row>
    <row r="42" spans="2:4">
      <c r="B42" s="18"/>
      <c r="C42" s="20">
        <v>103.5</v>
      </c>
      <c r="D42" s="21">
        <v>-4.952881718534434E-2</v>
      </c>
    </row>
    <row r="43" spans="2:4">
      <c r="B43" s="18"/>
      <c r="C43" s="20">
        <v>104</v>
      </c>
      <c r="D43" s="21">
        <v>-6.5401622637148271E-2</v>
      </c>
    </row>
    <row r="44" spans="2:4">
      <c r="B44" s="18"/>
      <c r="C44" s="20">
        <v>104.5</v>
      </c>
      <c r="D44" s="21">
        <v>-8.5443465002675481E-2</v>
      </c>
    </row>
    <row r="45" spans="2:4">
      <c r="B45" s="18"/>
      <c r="C45" s="20">
        <v>105</v>
      </c>
      <c r="D45" s="21">
        <v>-0.11045494115420154</v>
      </c>
    </row>
    <row r="46" spans="2:4">
      <c r="B46" s="18"/>
      <c r="C46" s="20">
        <v>105.5</v>
      </c>
      <c r="D46" s="21">
        <v>-0.14130642966418427</v>
      </c>
    </row>
    <row r="47" spans="2:4">
      <c r="B47" s="18"/>
      <c r="C47" s="20">
        <v>106</v>
      </c>
      <c r="D47" s="21">
        <v>-0.17892125495312325</v>
      </c>
    </row>
    <row r="48" spans="2:4">
      <c r="B48" s="18"/>
      <c r="C48" s="20">
        <v>106.5</v>
      </c>
      <c r="D48" s="21">
        <v>-0.22425189766633169</v>
      </c>
    </row>
    <row r="49" spans="2:4">
      <c r="B49" s="18"/>
      <c r="C49" s="20">
        <v>107</v>
      </c>
      <c r="D49" s="21">
        <v>-0.27824895324844051</v>
      </c>
    </row>
    <row r="50" spans="2:4">
      <c r="B50" s="18"/>
      <c r="C50" s="20">
        <v>107.5</v>
      </c>
      <c r="D50" s="21">
        <v>-0.34182295049465916</v>
      </c>
    </row>
    <row r="51" spans="2:4">
      <c r="B51" s="18"/>
      <c r="C51" s="20">
        <v>108</v>
      </c>
      <c r="D51" s="21">
        <v>-0.41579962824337241</v>
      </c>
    </row>
    <row r="52" spans="2:4">
      <c r="B52" s="18"/>
      <c r="C52" s="20">
        <v>108.5</v>
      </c>
      <c r="D52" s="21">
        <v>-0.50086980618988775</v>
      </c>
    </row>
    <row r="53" spans="2:4">
      <c r="B53" s="18"/>
      <c r="C53" s="20">
        <v>109</v>
      </c>
      <c r="D53" s="21">
        <v>-0.59753554081847027</v>
      </c>
    </row>
    <row r="54" spans="2:4">
      <c r="B54" s="18"/>
      <c r="C54" s="20">
        <v>109.5</v>
      </c>
      <c r="D54" s="21">
        <v>-0.70605478822176559</v>
      </c>
    </row>
    <row r="55" spans="2:4">
      <c r="B55" s="18"/>
      <c r="C55" s="20">
        <v>110</v>
      </c>
      <c r="D55" s="21">
        <v>-0.82638725633761734</v>
      </c>
    </row>
    <row r="56" spans="2:4">
      <c r="B56" s="18"/>
      <c r="C56" s="20">
        <v>110.5</v>
      </c>
      <c r="D56" s="21">
        <v>-0.95814447355376731</v>
      </c>
    </row>
    <row r="57" spans="2:4">
      <c r="B57" s="18"/>
      <c r="C57" s="20">
        <v>111</v>
      </c>
      <c r="D57" s="21">
        <v>-1.1005472861131596</v>
      </c>
    </row>
    <row r="58" spans="2:4">
      <c r="B58" s="18"/>
      <c r="C58" s="20">
        <v>111.5</v>
      </c>
      <c r="D58" s="21">
        <v>-1.2523939888543116</v>
      </c>
    </row>
    <row r="59" spans="2:4">
      <c r="B59" s="18"/>
      <c r="C59" s="20">
        <v>112</v>
      </c>
      <c r="D59" s="21">
        <v>-1.4120420703408803</v>
      </c>
    </row>
    <row r="60" spans="2:4">
      <c r="B60" s="18"/>
      <c r="C60" s="20">
        <v>112.5</v>
      </c>
      <c r="D60" s="21">
        <v>-1.5774061076803931</v>
      </c>
    </row>
    <row r="61" spans="2:4">
      <c r="B61" s="18"/>
      <c r="C61" s="20">
        <v>113</v>
      </c>
      <c r="D61" s="21">
        <v>-1.745973689161411</v>
      </c>
    </row>
    <row r="62" spans="2:4">
      <c r="B62" s="18"/>
      <c r="C62" s="20">
        <v>113.5</v>
      </c>
      <c r="D62" s="21">
        <v>-1.9148404031502075</v>
      </c>
    </row>
    <row r="63" spans="2:4">
      <c r="B63" s="18"/>
      <c r="C63" s="20">
        <v>114</v>
      </c>
      <c r="D63" s="21">
        <v>-2.0807639552174018</v>
      </c>
    </row>
    <row r="64" spans="2:4">
      <c r="B64" s="18"/>
      <c r="C64" s="20">
        <v>114.5</v>
      </c>
      <c r="D64" s="21">
        <v>-2.2402364218990654</v>
      </c>
    </row>
    <row r="65" spans="2:4">
      <c r="B65" s="18"/>
      <c r="C65" s="20">
        <v>115</v>
      </c>
      <c r="D65" s="21">
        <v>-2.389572588121939</v>
      </c>
    </row>
    <row r="66" spans="2:4">
      <c r="B66" s="18"/>
      <c r="C66" s="20">
        <v>115.5</v>
      </c>
      <c r="D66" s="21">
        <v>-2.5250113195829123</v>
      </c>
    </row>
    <row r="67" spans="2:4">
      <c r="B67" s="18"/>
      <c r="C67" s="20">
        <v>116</v>
      </c>
      <c r="D67" s="21">
        <v>-2.6428260628417819</v>
      </c>
    </row>
    <row r="68" spans="2:4">
      <c r="B68" s="18"/>
      <c r="C68" s="20">
        <v>116.5</v>
      </c>
      <c r="D68" s="21">
        <v>-2.7394399082363514</v>
      </c>
    </row>
    <row r="69" spans="2:4">
      <c r="B69" s="18"/>
      <c r="C69" s="20">
        <v>117</v>
      </c>
      <c r="D69" s="21">
        <v>-2.8115402442877073</v>
      </c>
    </row>
    <row r="70" spans="2:4">
      <c r="B70" s="18"/>
      <c r="C70" s="20">
        <v>117.5</v>
      </c>
      <c r="D70" s="21">
        <v>-2.8561879096886127</v>
      </c>
    </row>
    <row r="71" spans="2:4">
      <c r="B71" s="18"/>
      <c r="C71" s="20">
        <v>118</v>
      </c>
      <c r="D71" s="21">
        <v>-2.8709159224597549</v>
      </c>
    </row>
    <row r="72" spans="2:4">
      <c r="B72" s="18"/>
      <c r="C72" s="20">
        <v>118.5</v>
      </c>
      <c r="D72" s="21">
        <v>-2.8538133261652789</v>
      </c>
    </row>
    <row r="73" spans="2:4">
      <c r="B73" s="18"/>
      <c r="C73" s="20">
        <v>119</v>
      </c>
      <c r="D73" s="21">
        <v>-2.8035904103677596</v>
      </c>
    </row>
    <row r="74" spans="2:4">
      <c r="B74" s="18"/>
      <c r="C74" s="20">
        <v>119.5</v>
      </c>
      <c r="D74" s="21">
        <v>-2.7196224889790583</v>
      </c>
    </row>
    <row r="75" spans="2:4">
      <c r="B75" s="18"/>
      <c r="C75" s="20">
        <v>120</v>
      </c>
      <c r="D75" s="21">
        <v>-2.6019704941494135</v>
      </c>
    </row>
    <row r="76" spans="2:4">
      <c r="B76" s="18"/>
      <c r="C76" s="20">
        <v>120.5</v>
      </c>
      <c r="D76" s="21">
        <v>-2.451377794393431</v>
      </c>
    </row>
    <row r="77" spans="2:4">
      <c r="B77" s="18"/>
      <c r="C77" s="20">
        <v>121</v>
      </c>
      <c r="D77" s="21">
        <v>-2.2692438002339443</v>
      </c>
    </row>
    <row r="78" spans="2:4">
      <c r="B78" s="18"/>
      <c r="C78" s="20">
        <v>121.5</v>
      </c>
      <c r="D78" s="21">
        <v>-2.0575760077683927</v>
      </c>
    </row>
    <row r="79" spans="2:4">
      <c r="B79" s="18"/>
      <c r="C79" s="20">
        <v>122</v>
      </c>
      <c r="D79" s="21">
        <v>-1.8189230869731268</v>
      </c>
    </row>
    <row r="80" spans="2:4">
      <c r="B80" s="18"/>
      <c r="C80" s="20">
        <v>122.5</v>
      </c>
      <c r="D80" s="21">
        <v>-1.5562923959868895</v>
      </c>
    </row>
    <row r="81" spans="2:4">
      <c r="B81" s="18"/>
      <c r="C81" s="20">
        <v>123</v>
      </c>
      <c r="D81" s="21">
        <v>-1.2730558587938661</v>
      </c>
    </row>
    <row r="82" spans="2:4">
      <c r="B82" s="18"/>
      <c r="C82" s="20">
        <v>123.5</v>
      </c>
      <c r="D82" s="21">
        <v>-0.9728484620363439</v>
      </c>
    </row>
    <row r="83" spans="2:4">
      <c r="B83" s="18"/>
      <c r="C83" s="20">
        <v>124</v>
      </c>
      <c r="D83" s="21">
        <v>-0.65946370434558843</v>
      </c>
    </row>
    <row r="84" spans="2:4">
      <c r="B84" s="18"/>
      <c r="C84" s="20">
        <v>124.5</v>
      </c>
      <c r="D84" s="21">
        <v>-0.33675018152697994</v>
      </c>
    </row>
    <row r="85" spans="2:4">
      <c r="B85" s="18"/>
      <c r="C85" s="20">
        <v>125</v>
      </c>
      <c r="D85" s="21">
        <v>-8.5131395952197098E-3</v>
      </c>
    </row>
    <row r="86" spans="2:4">
      <c r="B86" s="18"/>
      <c r="C86" s="20">
        <v>125.5</v>
      </c>
      <c r="D86" s="21">
        <v>0.32157568811364501</v>
      </c>
    </row>
    <row r="87" spans="2:4">
      <c r="B87" s="18"/>
      <c r="C87" s="20">
        <v>126</v>
      </c>
      <c r="D87" s="21">
        <v>0.65005727997791241</v>
      </c>
    </row>
    <row r="88" spans="2:4">
      <c r="B88" s="18"/>
      <c r="C88" s="20">
        <v>126.5</v>
      </c>
      <c r="D88" s="21">
        <v>0.9737515916832904</v>
      </c>
    </row>
    <row r="89" spans="2:4">
      <c r="B89" s="18"/>
      <c r="C89" s="20">
        <v>127</v>
      </c>
      <c r="D89" s="21">
        <v>1.2898096560774444</v>
      </c>
    </row>
    <row r="90" spans="2:4">
      <c r="B90" s="18"/>
      <c r="C90" s="20">
        <v>127.5</v>
      </c>
      <c r="D90" s="21">
        <v>1.5957510061903681</v>
      </c>
    </row>
    <row r="91" spans="2:4">
      <c r="B91" s="18"/>
      <c r="C91" s="20">
        <v>128</v>
      </c>
      <c r="D91" s="21">
        <v>1.8894865781249279</v>
      </c>
    </row>
    <row r="92" spans="2:4">
      <c r="B92" s="18"/>
      <c r="C92" s="20">
        <v>128.5</v>
      </c>
      <c r="D92" s="21">
        <v>2.16932783525696</v>
      </c>
    </row>
    <row r="93" spans="2:4">
      <c r="B93" s="18"/>
      <c r="C93" s="20">
        <v>129</v>
      </c>
      <c r="D93" s="21">
        <v>2.4339833357998062</v>
      </c>
    </row>
    <row r="94" spans="2:4">
      <c r="B94" s="18"/>
      <c r="C94" s="20">
        <v>129.5</v>
      </c>
      <c r="D94" s="21">
        <v>2.6825443300696614</v>
      </c>
    </row>
    <row r="95" spans="2:4">
      <c r="B95" s="18"/>
      <c r="C95" s="20">
        <v>130</v>
      </c>
      <c r="D95" s="21">
        <v>2.9144612179363913</v>
      </c>
    </row>
    <row r="96" spans="2:4">
      <c r="B96" s="18"/>
      <c r="C96" s="20">
        <v>130.5</v>
      </c>
      <c r="D96" s="21">
        <v>3.1295128246267105</v>
      </c>
    </row>
    <row r="97" spans="2:4">
      <c r="B97" s="18"/>
      <c r="C97" s="20">
        <v>131</v>
      </c>
      <c r="D97" s="21">
        <v>3.3277704740730649</v>
      </c>
    </row>
    <row r="98" spans="2:4">
      <c r="B98" s="18"/>
      <c r="C98" s="20">
        <v>131.5</v>
      </c>
      <c r="D98" s="21">
        <v>3.5095587677846671</v>
      </c>
    </row>
    <row r="99" spans="2:4">
      <c r="B99" s="18"/>
      <c r="C99" s="20">
        <v>132</v>
      </c>
      <c r="D99" s="21">
        <v>3.6754148311615062</v>
      </c>
    </row>
    <row r="100" spans="2:4">
      <c r="B100" s="18"/>
      <c r="C100" s="20">
        <v>132.5</v>
      </c>
      <c r="D100" s="21">
        <v>3.8260475871268707</v>
      </c>
    </row>
    <row r="101" spans="2:4">
      <c r="B101" s="18"/>
      <c r="C101" s="20">
        <v>133</v>
      </c>
      <c r="D101" s="21">
        <v>3.9622983778223801</v>
      </c>
    </row>
    <row r="102" spans="2:4">
      <c r="B102" s="18"/>
      <c r="C102" s="20">
        <v>133.5</v>
      </c>
      <c r="D102" s="21">
        <v>4.0851039966990497</v>
      </c>
    </row>
    <row r="103" spans="2:4">
      <c r="B103" s="18"/>
      <c r="C103" s="20">
        <v>134</v>
      </c>
      <c r="D103" s="21">
        <v>4.1954629314784588</v>
      </c>
    </row>
    <row r="104" spans="2:4">
      <c r="B104" s="18"/>
      <c r="C104" s="20">
        <v>134.5</v>
      </c>
      <c r="D104" s="21">
        <v>4.2944053664106141</v>
      </c>
    </row>
    <row r="105" spans="2:4">
      <c r="B105" s="18"/>
      <c r="C105" s="20">
        <v>135</v>
      </c>
      <c r="D105" s="21">
        <v>4.3829672603929586</v>
      </c>
    </row>
    <row r="106" spans="2:4">
      <c r="B106" s="18"/>
      <c r="C106" s="20">
        <v>135.5</v>
      </c>
      <c r="D106" s="21">
        <v>4.4621686132510625</v>
      </c>
    </row>
    <row r="107" spans="2:4">
      <c r="B107" s="18"/>
      <c r="C107" s="20">
        <v>136</v>
      </c>
      <c r="D107" s="21">
        <v>4.5329958603964267</v>
      </c>
    </row>
    <row r="108" spans="2:4">
      <c r="B108" s="18"/>
      <c r="C108" s="20">
        <v>136.5</v>
      </c>
      <c r="D108" s="21">
        <v>4.59638819820091</v>
      </c>
    </row>
    <row r="109" spans="2:4">
      <c r="B109" s="18"/>
      <c r="C109" s="20">
        <v>137</v>
      </c>
      <c r="D109" s="21">
        <v>4.6532275386262043</v>
      </c>
    </row>
    <row r="110" spans="2:4">
      <c r="B110" s="18"/>
      <c r="C110" s="20">
        <v>137.5</v>
      </c>
      <c r="D110" s="21">
        <v>4.7043317200619992</v>
      </c>
    </row>
    <row r="111" spans="2:4">
      <c r="B111" s="18"/>
      <c r="C111" s="20">
        <v>138</v>
      </c>
      <c r="D111" s="21">
        <v>4.7504505588324246</v>
      </c>
    </row>
    <row r="112" spans="2:4">
      <c r="B112" s="18"/>
      <c r="C112" s="20">
        <v>138.5</v>
      </c>
      <c r="D112" s="21">
        <v>4.7922643084706582</v>
      </c>
    </row>
    <row r="113" spans="2:4">
      <c r="B113" s="18"/>
      <c r="C113" s="20">
        <v>139</v>
      </c>
      <c r="D113" s="21">
        <v>4.8303840972448491</v>
      </c>
    </row>
    <row r="114" spans="2:4">
      <c r="B114" s="18"/>
      <c r="C114" s="20">
        <v>139.5</v>
      </c>
      <c r="D114" s="21">
        <v>4.8653539340514893</v>
      </c>
    </row>
    <row r="115" spans="2:4">
      <c r="B115" s="18"/>
      <c r="C115" s="20">
        <v>140</v>
      </c>
      <c r="D115" s="21">
        <v>4.8976539043485117</v>
      </c>
    </row>
    <row r="116" spans="2:4">
      <c r="B116" s="18"/>
      <c r="C116" s="20">
        <v>140.5</v>
      </c>
      <c r="D116" s="21">
        <v>4.9277042173153767</v>
      </c>
    </row>
    <row r="117" spans="2:4">
      <c r="B117" s="18"/>
      <c r="C117" s="20">
        <v>141</v>
      </c>
      <c r="D117" s="21">
        <v>4.9558698094317695</v>
      </c>
    </row>
    <row r="118" spans="2:4">
      <c r="B118" s="18"/>
      <c r="C118" s="20">
        <v>141.5</v>
      </c>
      <c r="D118" s="21">
        <v>4.982465255256475</v>
      </c>
    </row>
    <row r="119" spans="2:4">
      <c r="B119" s="18"/>
      <c r="C119" s="20">
        <v>142</v>
      </c>
      <c r="D119" s="21">
        <v>5.0077597810483487</v>
      </c>
    </row>
    <row r="120" spans="2:4">
      <c r="B120" s="18"/>
      <c r="C120" s="20">
        <v>142.5</v>
      </c>
      <c r="D120" s="21">
        <v>5.0319822192591479</v>
      </c>
    </row>
    <row r="121" spans="2:4">
      <c r="B121" s="18"/>
      <c r="C121" s="20">
        <v>143</v>
      </c>
      <c r="D121" s="21">
        <v>5.0553257806261946</v>
      </c>
    </row>
    <row r="122" spans="2:4">
      <c r="B122" s="18"/>
      <c r="C122" s="20">
        <v>143.5</v>
      </c>
      <c r="D122" s="21">
        <v>5.0779525548481255</v>
      </c>
    </row>
    <row r="123" spans="2:4">
      <c r="B123" s="18"/>
      <c r="C123" s="20">
        <v>144</v>
      </c>
      <c r="D123" s="21">
        <v>5.0999976802730469</v>
      </c>
    </row>
    <row r="124" spans="2:4">
      <c r="B124" s="18"/>
      <c r="C124" s="20">
        <v>144.5</v>
      </c>
      <c r="D124" s="21">
        <v>5.1215731476115174</v>
      </c>
    </row>
    <row r="125" spans="2:4">
      <c r="B125" s="18"/>
      <c r="C125" s="20">
        <v>145</v>
      </c>
      <c r="D125" s="21">
        <v>5.1427712225880606</v>
      </c>
    </row>
    <row r="126" spans="2:4">
      <c r="B126" s="18"/>
      <c r="C126" s="20">
        <v>145.5</v>
      </c>
      <c r="D126" s="21">
        <v>5.1636674880137194</v>
      </c>
    </row>
    <row r="127" spans="2:4">
      <c r="B127" s="18"/>
      <c r="C127" s="20">
        <v>146</v>
      </c>
      <c r="D127" s="21">
        <v>5.1843235174543407</v>
      </c>
    </row>
    <row r="128" spans="2:4">
      <c r="B128" s="18"/>
      <c r="C128" s="20">
        <v>146.5</v>
      </c>
      <c r="D128" s="21">
        <v>5.204789200998075</v>
      </c>
    </row>
    <row r="129" spans="2:4">
      <c r="B129" s="18"/>
      <c r="C129" s="20">
        <v>147</v>
      </c>
      <c r="D129" s="21">
        <v>5.2251047491205194</v>
      </c>
    </row>
    <row r="130" spans="2:4">
      <c r="B130" s="18"/>
      <c r="C130" s="20">
        <v>147.5</v>
      </c>
      <c r="D130" s="21">
        <v>5.2453024038237244</v>
      </c>
    </row>
    <row r="131" spans="2:4">
      <c r="B131" s="18"/>
      <c r="C131" s="20">
        <v>148</v>
      </c>
      <c r="D131" s="21">
        <v>5.2654078875671226</v>
      </c>
    </row>
    <row r="132" spans="2:4">
      <c r="B132" s="18"/>
      <c r="C132" s="20">
        <v>148.5</v>
      </c>
      <c r="D132" s="21">
        <v>5.2854416204475854</v>
      </c>
    </row>
    <row r="133" spans="2:4">
      <c r="B133" s="18"/>
      <c r="C133" s="20">
        <v>149</v>
      </c>
      <c r="D133" s="21">
        <v>5.3054197349987868</v>
      </c>
    </row>
    <row r="134" spans="2:4">
      <c r="B134" s="18"/>
      <c r="C134" s="20">
        <v>149.5</v>
      </c>
      <c r="D134" s="21">
        <v>5.325354916185578</v>
      </c>
    </row>
    <row r="135" spans="2:4">
      <c r="B135" s="18"/>
      <c r="C135" s="20">
        <v>150</v>
      </c>
      <c r="D135" s="21">
        <v>5.3452570919278646</v>
      </c>
    </row>
    <row r="136" spans="2:4">
      <c r="B136" s="18"/>
      <c r="C136" s="20"/>
      <c r="D136" s="21"/>
    </row>
    <row r="137" spans="2:4">
      <c r="B137" s="18"/>
      <c r="C137" s="20"/>
      <c r="D137" s="21"/>
    </row>
    <row r="138" spans="2:4">
      <c r="B138" s="18"/>
      <c r="C138" s="20"/>
      <c r="D138" s="21"/>
    </row>
    <row r="139" spans="2:4">
      <c r="B139" s="18"/>
      <c r="C139" s="20"/>
      <c r="D139" s="21"/>
    </row>
    <row r="140" spans="2:4">
      <c r="B140" s="18"/>
      <c r="C140" s="20"/>
      <c r="D140" s="21"/>
    </row>
    <row r="141" spans="2:4">
      <c r="B141" s="18"/>
      <c r="C141" s="20"/>
      <c r="D141" s="21"/>
    </row>
    <row r="142" spans="2:4">
      <c r="B142" s="18"/>
      <c r="C142" s="20"/>
      <c r="D142" s="21"/>
    </row>
    <row r="143" spans="2:4">
      <c r="B143" s="18"/>
      <c r="C143" s="20"/>
      <c r="D143" s="21"/>
    </row>
    <row r="144" spans="2:4">
      <c r="B144" s="18"/>
      <c r="C144" s="20"/>
      <c r="D144" s="21"/>
    </row>
    <row r="145" spans="2:4">
      <c r="B145" s="18"/>
      <c r="C145" s="20"/>
      <c r="D145" s="21"/>
    </row>
    <row r="146" spans="2:4">
      <c r="B146" s="18"/>
      <c r="C146" s="20"/>
      <c r="D146" s="21"/>
    </row>
    <row r="147" spans="2:4">
      <c r="B147" s="18"/>
      <c r="C147" s="20"/>
      <c r="D147" s="21"/>
    </row>
    <row r="148" spans="2:4">
      <c r="B148" s="18"/>
      <c r="C148" s="20"/>
      <c r="D148" s="21"/>
    </row>
    <row r="149" spans="2:4">
      <c r="B149" s="18"/>
      <c r="C149" s="20"/>
      <c r="D149" s="21"/>
    </row>
    <row r="150" spans="2:4">
      <c r="B150" s="18"/>
      <c r="C150" s="20"/>
      <c r="D150" s="21"/>
    </row>
    <row r="151" spans="2:4">
      <c r="B151" s="18"/>
      <c r="C151" s="20"/>
      <c r="D151" s="21"/>
    </row>
    <row r="152" spans="2:4">
      <c r="B152" s="18"/>
      <c r="C152" s="20"/>
      <c r="D152" s="21"/>
    </row>
    <row r="153" spans="2:4">
      <c r="B153" s="18"/>
      <c r="C153" s="20"/>
      <c r="D153" s="21"/>
    </row>
    <row r="154" spans="2:4">
      <c r="B154" s="18"/>
      <c r="C154" s="20"/>
      <c r="D154" s="21"/>
    </row>
    <row r="155" spans="2:4">
      <c r="B155" s="18"/>
      <c r="C155" s="20"/>
      <c r="D155" s="21"/>
    </row>
    <row r="156" spans="2:4">
      <c r="B156" s="18"/>
      <c r="C156" s="20"/>
      <c r="D156" s="21"/>
    </row>
    <row r="157" spans="2:4">
      <c r="B157" s="18"/>
      <c r="C157" s="20"/>
      <c r="D157" s="21"/>
    </row>
    <row r="158" spans="2:4">
      <c r="B158" s="18"/>
      <c r="C158" s="20"/>
      <c r="D158" s="21"/>
    </row>
    <row r="159" spans="2:4">
      <c r="B159" s="18"/>
      <c r="C159" s="20"/>
      <c r="D159" s="21"/>
    </row>
    <row r="160" spans="2:4">
      <c r="B160" s="18"/>
      <c r="C160" s="20"/>
      <c r="D160" s="21"/>
    </row>
    <row r="161" spans="2:4">
      <c r="B161" s="18"/>
      <c r="C161" s="20"/>
      <c r="D161" s="21"/>
    </row>
    <row r="162" spans="2:4">
      <c r="B162" s="18"/>
      <c r="C162" s="20"/>
      <c r="D162" s="21"/>
    </row>
    <row r="163" spans="2:4">
      <c r="B163" s="18"/>
      <c r="C163" s="20"/>
      <c r="D163" s="21"/>
    </row>
    <row r="164" spans="2:4">
      <c r="B164" s="18"/>
      <c r="C164" s="20"/>
      <c r="D164" s="21"/>
    </row>
    <row r="165" spans="2:4">
      <c r="B165" s="18"/>
      <c r="C165" s="20"/>
      <c r="D165" s="21"/>
    </row>
    <row r="166" spans="2:4">
      <c r="B166" s="18"/>
      <c r="C166" s="20"/>
      <c r="D166" s="21"/>
    </row>
    <row r="167" spans="2:4">
      <c r="B167" s="18"/>
      <c r="C167" s="20"/>
      <c r="D167" s="21"/>
    </row>
    <row r="168" spans="2:4">
      <c r="B168" s="18"/>
      <c r="C168" s="20"/>
      <c r="D168" s="21"/>
    </row>
    <row r="169" spans="2:4">
      <c r="B169" s="18"/>
      <c r="C169" s="20"/>
      <c r="D169" s="21"/>
    </row>
    <row r="170" spans="2:4">
      <c r="B170" s="18"/>
      <c r="C170" s="20"/>
      <c r="D170" s="21"/>
    </row>
    <row r="171" spans="2:4">
      <c r="B171" s="18"/>
      <c r="C171" s="20"/>
      <c r="D171" s="21"/>
    </row>
    <row r="172" spans="2:4">
      <c r="B172" s="18"/>
      <c r="C172" s="20"/>
      <c r="D172" s="21"/>
    </row>
    <row r="173" spans="2:4">
      <c r="B173" s="18"/>
      <c r="C173" s="20"/>
      <c r="D173" s="21"/>
    </row>
    <row r="174" spans="2:4">
      <c r="B174" s="18"/>
      <c r="C174" s="20"/>
      <c r="D174" s="21"/>
    </row>
    <row r="175" spans="2:4">
      <c r="B175" s="18"/>
      <c r="C175" s="20"/>
      <c r="D175" s="21"/>
    </row>
    <row r="176" spans="2:4">
      <c r="B176" s="18"/>
      <c r="C176" s="20"/>
      <c r="D176" s="21"/>
    </row>
    <row r="177" spans="2:4">
      <c r="B177" s="18"/>
      <c r="C177" s="20"/>
      <c r="D177" s="21"/>
    </row>
    <row r="178" spans="2:4">
      <c r="B178" s="18"/>
      <c r="C178" s="20"/>
      <c r="D178" s="21"/>
    </row>
    <row r="179" spans="2:4">
      <c r="B179" s="18"/>
      <c r="C179" s="20"/>
      <c r="D179" s="21"/>
    </row>
    <row r="180" spans="2:4">
      <c r="B180" s="18"/>
      <c r="C180" s="20"/>
      <c r="D180" s="21"/>
    </row>
    <row r="181" spans="2:4">
      <c r="B181" s="18"/>
      <c r="C181" s="20"/>
      <c r="D181" s="21"/>
    </row>
    <row r="182" spans="2:4">
      <c r="B182" s="18"/>
      <c r="C182" s="20"/>
      <c r="D182" s="21"/>
    </row>
    <row r="183" spans="2:4">
      <c r="B183" s="18"/>
      <c r="C183" s="20"/>
      <c r="D183" s="21"/>
    </row>
    <row r="184" spans="2:4">
      <c r="B184" s="18"/>
      <c r="C184" s="20"/>
      <c r="D184" s="21"/>
    </row>
    <row r="185" spans="2:4">
      <c r="B185" s="18"/>
      <c r="C185" s="20"/>
      <c r="D185" s="21"/>
    </row>
    <row r="186" spans="2:4">
      <c r="B186" s="18"/>
      <c r="C186" s="20"/>
      <c r="D186" s="21"/>
    </row>
    <row r="187" spans="2:4">
      <c r="B187" s="18"/>
      <c r="C187" s="20"/>
      <c r="D187" s="21"/>
    </row>
    <row r="188" spans="2:4">
      <c r="B188" s="18"/>
      <c r="C188" s="20"/>
      <c r="D188" s="21"/>
    </row>
    <row r="189" spans="2:4">
      <c r="B189" s="18"/>
      <c r="C189" s="20"/>
      <c r="D189" s="21"/>
    </row>
    <row r="190" spans="2:4">
      <c r="B190" s="18"/>
      <c r="C190" s="20"/>
      <c r="D190" s="21"/>
    </row>
    <row r="191" spans="2:4">
      <c r="B191" s="18"/>
      <c r="C191" s="20"/>
      <c r="D191" s="21"/>
    </row>
    <row r="192" spans="2:4">
      <c r="B192" s="18"/>
      <c r="C192" s="20"/>
      <c r="D192" s="21"/>
    </row>
    <row r="193" spans="2:4">
      <c r="B193" s="22"/>
      <c r="C193" s="23"/>
      <c r="D193" s="24"/>
    </row>
  </sheetData>
  <mergeCells count="1">
    <mergeCell ref="A1:C1"/>
  </mergeCells>
  <phoneticPr fontId="2" type="noConversion"/>
  <dataValidations count="1">
    <dataValidation type="list" allowBlank="1" showInputMessage="1" showErrorMessage="1" sqref="D26">
      <formula1>$C$17:$C$22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Draw">
                <anchor moveWithCells="1" sizeWithCells="1">
                  <from>
                    <xdr:col>3</xdr:col>
                    <xdr:colOff>12700</xdr:colOff>
                    <xdr:row>28</xdr:row>
                    <xdr:rowOff>177800</xdr:rowOff>
                  </from>
                  <to>
                    <xdr:col>4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Question 1 currency call option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文竹 仇</dc:creator>
  <cp:lastModifiedBy>文竹 仇</cp:lastModifiedBy>
  <dcterms:created xsi:type="dcterms:W3CDTF">2015-02-13T21:23:59Z</dcterms:created>
  <dcterms:modified xsi:type="dcterms:W3CDTF">2015-04-07T02:26:00Z</dcterms:modified>
</cp:coreProperties>
</file>