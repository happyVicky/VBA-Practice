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0910" codeName="{00000000-0000-0000-0000-000000000000}"/>
  <workbookPr showInkAnnotation="0" codeName="ThisWorkbook" autoCompressPictures="0"/>
  <bookViews>
    <workbookView xWindow="3200" yWindow="780" windowWidth="25600" windowHeight="16080" tabRatio="500"/>
  </bookViews>
  <sheets>
    <sheet name="Sheet1" sheetId="1" r:id="rId1"/>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30" i="1" l="1"/>
  <c r="C29" i="1"/>
  <c r="C10" i="1"/>
  <c r="C11" i="1"/>
</calcChain>
</file>

<file path=xl/sharedStrings.xml><?xml version="1.0" encoding="utf-8"?>
<sst xmlns="http://schemas.openxmlformats.org/spreadsheetml/2006/main" count="33" uniqueCount="25">
  <si>
    <t>Features</t>
    <phoneticPr fontId="1" type="noConversion"/>
  </si>
  <si>
    <t>Domestic Zero Rate</t>
    <phoneticPr fontId="1" type="noConversion"/>
  </si>
  <si>
    <t>Foreign Interest Rate</t>
    <phoneticPr fontId="1" type="noConversion"/>
  </si>
  <si>
    <t>Strike Price</t>
    <phoneticPr fontId="1" type="noConversion"/>
  </si>
  <si>
    <t>Spot Price</t>
    <phoneticPr fontId="1" type="noConversion"/>
  </si>
  <si>
    <t>Expiration (day)</t>
    <phoneticPr fontId="1" type="noConversion"/>
  </si>
  <si>
    <t>Method</t>
    <phoneticPr fontId="1" type="noConversion"/>
  </si>
  <si>
    <t>User Inputs</t>
    <phoneticPr fontId="1" type="noConversion"/>
  </si>
  <si>
    <t>Initial Guess</t>
    <phoneticPr fontId="1" type="noConversion"/>
  </si>
  <si>
    <t>Regula Falsi</t>
  </si>
  <si>
    <t>Target Option Price</t>
    <phoneticPr fontId="1" type="noConversion"/>
  </si>
  <si>
    <t>Implied Volatility</t>
    <phoneticPr fontId="1" type="noConversion"/>
  </si>
  <si>
    <t>Newton Raphson</t>
  </si>
  <si>
    <t>Q1: Do they all converge?</t>
    <phoneticPr fontId="1" type="noConversion"/>
  </si>
  <si>
    <t>Q1</t>
    <phoneticPr fontId="1" type="noConversion"/>
  </si>
  <si>
    <t>Q2</t>
    <phoneticPr fontId="1" type="noConversion"/>
  </si>
  <si>
    <t>Strike Price 1</t>
    <phoneticPr fontId="1" type="noConversion"/>
  </si>
  <si>
    <t>Strike Price 2</t>
    <phoneticPr fontId="1" type="noConversion"/>
  </si>
  <si>
    <t>Target Bull Spread Price</t>
    <phoneticPr fontId="1" type="noConversion"/>
  </si>
  <si>
    <t>Spot Price</t>
    <phoneticPr fontId="1" type="noConversion"/>
  </si>
  <si>
    <t>A: Yes, they all converge, the valus are very close</t>
    <phoneticPr fontId="1" type="noConversion"/>
  </si>
  <si>
    <t>Q2: Do all three methods converge to an implied vol? Why and why not? Do you think that by "well-chosen" initial guess, all three mothods work? Please explain.</t>
    <phoneticPr fontId="1" type="noConversion"/>
  </si>
  <si>
    <t>No. From the results above, they don't converge to an implied volatility. It might because the initial guess will greatly affect the final result. Given different initial guesses, mothods will generate different results.</t>
    <phoneticPr fontId="1" type="noConversion"/>
  </si>
  <si>
    <t>I think that by well-chosen initial guess, all three methods will work well. But it is very hard to get initial guess, because you have to have strong prior knowledge to give nice initial guess, and it is almost impossible.</t>
    <phoneticPr fontId="1" type="noConversion"/>
  </si>
  <si>
    <t>Most of the time, mothods fail, because you don’t give nice initial guess to the mothod.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</si>
</sst>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8" formatCode="0.00000"/>
  </numFmts>
  <fonts count="7" x14ac:knownFonts="1">
    <font>
      <sz val="12"/>
      <color theme="1"/>
      <name val="宋体"/>
      <family val="2"/>
      <charset val="134"/>
      <scheme val="minor"/>
    </font>
    <font>
      <sz val="9"/>
      <name val="宋体"/>
      <family val="2"/>
      <charset val="134"/>
      <scheme val="minor"/>
    </font>
    <font>
      <sz val="12"/>
      <color theme="1"/>
      <name val="Arial"/>
    </font>
    <font>
      <u/>
      <sz val="12"/>
      <color theme="10"/>
      <name val="宋体"/>
      <family val="2"/>
      <charset val="134"/>
      <scheme val="minor"/>
    </font>
    <font>
      <u/>
      <sz val="12"/>
      <color theme="11"/>
      <name val="宋体"/>
      <family val="2"/>
      <charset val="134"/>
      <scheme val="minor"/>
    </font>
    <font>
      <b/>
      <i/>
      <sz val="12"/>
      <color theme="1"/>
      <name val="Arial"/>
    </font>
    <font>
      <b/>
      <sz val="12"/>
      <color rgb="FFFF0000"/>
      <name val="Arial"/>
    </font>
  </fonts>
  <fills count="6">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7" tint="0.59999389629810485"/>
        <bgColor indexed="6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39">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17">
    <xf numFmtId="0" fontId="0" fillId="0" borderId="0" xfId="0"/>
    <xf numFmtId="0" fontId="2" fillId="0" borderId="0" xfId="0" applyFont="1"/>
    <xf numFmtId="0" fontId="2" fillId="2" borderId="3" xfId="0" applyFont="1" applyFill="1" applyBorder="1"/>
    <xf numFmtId="0" fontId="2" fillId="0" borderId="1" xfId="0" applyFont="1" applyBorder="1"/>
    <xf numFmtId="0" fontId="2" fillId="2" borderId="1" xfId="0" applyFont="1" applyFill="1" applyBorder="1"/>
    <xf numFmtId="0" fontId="2" fillId="0" borderId="3" xfId="0" applyFont="1" applyBorder="1" applyAlignment="1">
      <alignment horizontal="right"/>
    </xf>
    <xf numFmtId="0" fontId="2" fillId="2" borderId="2" xfId="0" applyFont="1" applyFill="1" applyBorder="1"/>
    <xf numFmtId="0" fontId="2" fillId="0" borderId="2" xfId="0" applyFont="1" applyBorder="1" applyAlignment="1">
      <alignment horizontal="right"/>
    </xf>
    <xf numFmtId="10" fontId="2" fillId="0" borderId="1" xfId="0" applyNumberFormat="1" applyFont="1" applyBorder="1" applyAlignment="1">
      <alignment horizontal="right"/>
    </xf>
    <xf numFmtId="9" fontId="2" fillId="0" borderId="1" xfId="0" applyNumberFormat="1" applyFont="1" applyBorder="1" applyAlignment="1">
      <alignment horizontal="right"/>
    </xf>
    <xf numFmtId="0" fontId="2" fillId="0" borderId="1" xfId="0" applyFont="1" applyBorder="1" applyAlignment="1">
      <alignment horizontal="right"/>
    </xf>
    <xf numFmtId="0" fontId="5" fillId="3" borderId="1" xfId="0" applyFont="1" applyFill="1" applyBorder="1"/>
    <xf numFmtId="0" fontId="5" fillId="3" borderId="1" xfId="0" applyFont="1" applyFill="1" applyBorder="1" applyAlignment="1">
      <alignment horizontal="right"/>
    </xf>
    <xf numFmtId="0" fontId="2" fillId="4" borderId="1" xfId="0" applyFont="1" applyFill="1" applyBorder="1"/>
    <xf numFmtId="178" fontId="2" fillId="0" borderId="1" xfId="0" applyNumberFormat="1" applyFont="1" applyBorder="1"/>
    <xf numFmtId="0" fontId="2" fillId="5" borderId="1" xfId="0" applyFont="1" applyFill="1" applyBorder="1"/>
    <xf numFmtId="0" fontId="6" fillId="0" borderId="0" xfId="0" applyFont="1"/>
  </cellXfs>
  <cellStyles count="39">
    <cellStyle name="超链接" xfId="1" builtinId="8" hidden="1"/>
    <cellStyle name="超链接" xfId="3" builtinId="8" hidden="1"/>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访问过的超链接" xfId="2" builtinId="9" hidden="1"/>
    <cellStyle name="访问过的超链接" xfId="4" builtinId="9" hidden="1"/>
    <cellStyle name="访问过的超链接" xfId="6" builtinId="9" hidden="1"/>
    <cellStyle name="访问过的超链接" xfId="8" builtinId="9" hidden="1"/>
    <cellStyle name="访问过的超链接" xfId="10" builtinId="9" hidden="1"/>
    <cellStyle name="访问过的超链接" xfId="12" builtinId="9" hidden="1"/>
    <cellStyle name="访问过的超链接" xfId="14" builtinId="9" hidden="1"/>
    <cellStyle name="访问过的超链接" xfId="16" builtinId="9" hidden="1"/>
    <cellStyle name="访问过的超链接" xfId="18" builtinId="9" hidden="1"/>
    <cellStyle name="访问过的超链接" xfId="20" builtinId="9" hidden="1"/>
    <cellStyle name="访问过的超链接" xfId="22" builtinId="9" hidden="1"/>
    <cellStyle name="访问过的超链接" xfId="24" builtinId="9" hidden="1"/>
    <cellStyle name="访问过的超链接" xfId="26" builtinId="9" hidden="1"/>
    <cellStyle name="访问过的超链接" xfId="28" builtinId="9" hidden="1"/>
    <cellStyle name="访问过的超链接" xfId="30" builtinId="9" hidden="1"/>
    <cellStyle name="访问过的超链接" xfId="32" builtinId="9" hidden="1"/>
    <cellStyle name="访问过的超链接" xfId="34" builtinId="9" hidden="1"/>
    <cellStyle name="访问过的超链接" xfId="36" builtinId="9" hidden="1"/>
    <cellStyle name="访问过的超链接" xfId="38" builtinId="9" hidden="1"/>
    <cellStyle name="普通"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12700</xdr:colOff>
      <xdr:row>13</xdr:row>
      <xdr:rowOff>12700</xdr:rowOff>
    </xdr:from>
    <xdr:to>
      <xdr:col>2</xdr:col>
      <xdr:colOff>1727200</xdr:colOff>
      <xdr:row>15</xdr:row>
      <xdr:rowOff>0</xdr:rowOff>
    </xdr:to>
    <xdr:sp macro="[0]!_xludf.Calculation" textlink="">
      <xdr:nvSpPr>
        <xdr:cNvPr id="2" name="圆角矩形 1"/>
        <xdr:cNvSpPr/>
      </xdr:nvSpPr>
      <xdr:spPr>
        <a:xfrm>
          <a:off x="2628900" y="2489200"/>
          <a:ext cx="1714500" cy="3683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altLang="zh-CN" sz="1200" b="1"/>
            <a:t>Calculate</a:t>
          </a:r>
          <a:endParaRPr lang="zh-CN" altLang="en-US" sz="1200" b="1"/>
        </a:p>
      </xdr:txBody>
    </xdr:sp>
    <xdr:clientData/>
  </xdr:twoCellAnchor>
  <xdr:twoCellAnchor>
    <xdr:from>
      <xdr:col>2</xdr:col>
      <xdr:colOff>12700</xdr:colOff>
      <xdr:row>32</xdr:row>
      <xdr:rowOff>12700</xdr:rowOff>
    </xdr:from>
    <xdr:to>
      <xdr:col>3</xdr:col>
      <xdr:colOff>0</xdr:colOff>
      <xdr:row>34</xdr:row>
      <xdr:rowOff>12700</xdr:rowOff>
    </xdr:to>
    <xdr:sp macro="[0]!Calculation_bull" textlink="">
      <xdr:nvSpPr>
        <xdr:cNvPr id="3" name="圆角矩形 2"/>
        <xdr:cNvSpPr/>
      </xdr:nvSpPr>
      <xdr:spPr>
        <a:xfrm>
          <a:off x="2400300" y="6299200"/>
          <a:ext cx="1346200" cy="381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ctr"/>
          <a:r>
            <a:rPr lang="en-US" altLang="zh-CN" sz="1200" b="1">
              <a:solidFill>
                <a:schemeClr val="tx1"/>
              </a:solidFill>
            </a:rPr>
            <a:t>Calculate</a:t>
          </a:r>
          <a:endParaRPr lang="zh-CN" altLang="en-US" sz="1200" b="1">
            <a:solidFill>
              <a:schemeClr val="tx1"/>
            </a:solidFill>
          </a:endParaRPr>
        </a:p>
      </xdr:txBody>
    </xdr:sp>
    <xdr:clientData/>
  </xdr:twoCellAnchor>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enableFormatConditionsCalculation="0"/>
  <dimension ref="A2:C39"/>
  <sheetViews>
    <sheetView tabSelected="1" workbookViewId="0">
      <selection activeCell="I16" sqref="I16"/>
    </sheetView>
  </sheetViews>
  <sheetFormatPr baseColWidth="10" defaultRowHeight="15" x14ac:dyDescent="0"/>
  <cols>
    <col min="1" max="1" width="10.83203125" style="1"/>
    <col min="2" max="2" width="23.5" style="1" customWidth="1"/>
    <col min="3" max="3" width="23" style="1" customWidth="1"/>
    <col min="4" max="16384" width="10.83203125" style="1"/>
  </cols>
  <sheetData>
    <row r="2" spans="1:3">
      <c r="A2" s="16" t="s">
        <v>14</v>
      </c>
    </row>
    <row r="3" spans="1:3">
      <c r="B3" s="11" t="s">
        <v>0</v>
      </c>
      <c r="C3" s="12" t="s">
        <v>7</v>
      </c>
    </row>
    <row r="4" spans="1:3">
      <c r="B4" s="4" t="s">
        <v>1</v>
      </c>
      <c r="C4" s="8">
        <v>5.0000000000000001E-3</v>
      </c>
    </row>
    <row r="5" spans="1:3">
      <c r="B5" s="4" t="s">
        <v>2</v>
      </c>
      <c r="C5" s="9">
        <v>0.04</v>
      </c>
    </row>
    <row r="6" spans="1:3">
      <c r="B6" s="4" t="s">
        <v>3</v>
      </c>
      <c r="C6" s="10">
        <v>120</v>
      </c>
    </row>
    <row r="7" spans="1:3">
      <c r="B7" s="4" t="s">
        <v>4</v>
      </c>
      <c r="C7" s="10">
        <v>120</v>
      </c>
    </row>
    <row r="8" spans="1:3">
      <c r="B8" s="4" t="s">
        <v>5</v>
      </c>
      <c r="C8" s="10">
        <v>92</v>
      </c>
    </row>
    <row r="9" spans="1:3">
      <c r="B9" s="4" t="s">
        <v>6</v>
      </c>
      <c r="C9" s="10" t="s">
        <v>9</v>
      </c>
    </row>
    <row r="10" spans="1:3">
      <c r="B10" s="6" t="s">
        <v>8</v>
      </c>
      <c r="C10" s="7">
        <f>IF(C9="Newton Raphson",20%,IF(C9="Secant",19%,1%))</f>
        <v>0.01</v>
      </c>
    </row>
    <row r="11" spans="1:3">
      <c r="B11" s="2"/>
      <c r="C11" s="5">
        <f>IF(C9="Newton Raphson",,IF(C9="Regula Falsi",30%,20%))</f>
        <v>0.3</v>
      </c>
    </row>
    <row r="12" spans="1:3">
      <c r="B12" s="4" t="s">
        <v>10</v>
      </c>
      <c r="C12" s="3">
        <v>1</v>
      </c>
    </row>
    <row r="13" spans="1:3">
      <c r="B13" s="13" t="s">
        <v>11</v>
      </c>
      <c r="C13" s="14">
        <v>5.3263218201279897E-2</v>
      </c>
    </row>
    <row r="17" spans="1:3">
      <c r="B17" s="1" t="s">
        <v>13</v>
      </c>
    </row>
    <row r="18" spans="1:3">
      <c r="B18" s="1" t="s">
        <v>20</v>
      </c>
    </row>
    <row r="20" spans="1:3">
      <c r="A20" s="16" t="s">
        <v>15</v>
      </c>
    </row>
    <row r="21" spans="1:3">
      <c r="B21" s="11" t="s">
        <v>0</v>
      </c>
      <c r="C21" s="12" t="s">
        <v>7</v>
      </c>
    </row>
    <row r="22" spans="1:3">
      <c r="B22" s="4" t="s">
        <v>1</v>
      </c>
      <c r="C22" s="8">
        <v>5.0000000000000001E-3</v>
      </c>
    </row>
    <row r="23" spans="1:3">
      <c r="B23" s="4" t="s">
        <v>2</v>
      </c>
      <c r="C23" s="9">
        <v>0.04</v>
      </c>
    </row>
    <row r="24" spans="1:3">
      <c r="B24" s="4" t="s">
        <v>19</v>
      </c>
      <c r="C24" s="10">
        <v>120</v>
      </c>
    </row>
    <row r="25" spans="1:3">
      <c r="B25" s="4" t="s">
        <v>16</v>
      </c>
      <c r="C25" s="10">
        <v>118</v>
      </c>
    </row>
    <row r="26" spans="1:3">
      <c r="B26" s="4" t="s">
        <v>17</v>
      </c>
      <c r="C26" s="10">
        <v>122</v>
      </c>
    </row>
    <row r="27" spans="1:3">
      <c r="B27" s="4" t="s">
        <v>5</v>
      </c>
      <c r="C27" s="10">
        <v>92</v>
      </c>
    </row>
    <row r="28" spans="1:3">
      <c r="B28" s="4" t="s">
        <v>6</v>
      </c>
      <c r="C28" s="10" t="s">
        <v>12</v>
      </c>
    </row>
    <row r="29" spans="1:3">
      <c r="B29" s="6" t="s">
        <v>8</v>
      </c>
      <c r="C29" s="7">
        <f>IF(C28="Newton Raphson",20%,IF(C28="Secant",19%,1%))</f>
        <v>0.2</v>
      </c>
    </row>
    <row r="30" spans="1:3">
      <c r="B30" s="2"/>
      <c r="C30" s="5">
        <f>IF(C28="Newton Raphson",,IF(C28="Regula Falsi",30%,20%))</f>
        <v>0</v>
      </c>
    </row>
    <row r="31" spans="1:3">
      <c r="B31" s="4" t="s">
        <v>18</v>
      </c>
      <c r="C31" s="5">
        <v>1.7</v>
      </c>
    </row>
    <row r="32" spans="1:3">
      <c r="B32" s="15" t="s">
        <v>11</v>
      </c>
      <c r="C32" s="14">
        <v>8.7329323306133357</v>
      </c>
    </row>
    <row r="36" spans="2:2">
      <c r="B36" s="1" t="s">
        <v>21</v>
      </c>
    </row>
    <row r="37" spans="2:2">
      <c r="B37" s="1" t="s">
        <v>22</v>
      </c>
    </row>
    <row r="38" spans="2:2">
      <c r="B38" s="1" t="s">
        <v>23</v>
      </c>
    </row>
    <row r="39" spans="2:2">
      <c r="B39" s="1" t="s">
        <v>24</v>
      </c>
    </row>
  </sheetData>
  <phoneticPr fontId="1" type="noConversion"/>
  <dataValidations count="2">
    <dataValidation type="list" allowBlank="1" showInputMessage="1" showErrorMessage="1" sqref="C9 C28">
      <formula1>"Newton Raphson, Regula Falsi, Secant"</formula1>
    </dataValidation>
    <dataValidation type="list" allowBlank="1" showInputMessage="1" showErrorMessage="1" sqref="C12">
      <formula1>"1,3,10"</formula1>
    </dataValidation>
  </dataValidation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Sheet1</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文竹 仇</dc:creator>
  <cp:lastModifiedBy>文竹 仇</cp:lastModifiedBy>
  <dcterms:created xsi:type="dcterms:W3CDTF">2015-03-30T04:17:45Z</dcterms:created>
  <dcterms:modified xsi:type="dcterms:W3CDTF">2015-04-07T05:14:57Z</dcterms:modified>
</cp:coreProperties>
</file>