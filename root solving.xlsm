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2520" yWindow="0" windowWidth="25900" windowHeight="16060" tabRatio="500"/>
  </bookViews>
  <sheets>
    <sheet name="Worksheets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8" i="1" l="1"/>
  <c r="D38" i="1"/>
  <c r="E36" i="1"/>
  <c r="D36" i="1"/>
  <c r="E34" i="1"/>
  <c r="D34" i="1"/>
  <c r="E32" i="1"/>
  <c r="D32" i="1"/>
  <c r="E30" i="1"/>
  <c r="D30" i="1"/>
  <c r="E28" i="1"/>
  <c r="D28" i="1"/>
  <c r="E26" i="1"/>
  <c r="D26" i="1"/>
  <c r="E24" i="1"/>
  <c r="D24" i="1"/>
  <c r="E22" i="1"/>
  <c r="D22" i="1"/>
</calcChain>
</file>

<file path=xl/sharedStrings.xml><?xml version="1.0" encoding="utf-8"?>
<sst xmlns="http://schemas.openxmlformats.org/spreadsheetml/2006/main" count="19" uniqueCount="16">
  <si>
    <t>Homework 2</t>
    <phoneticPr fontId="2" type="noConversion"/>
  </si>
  <si>
    <t>Wenzhu Qiu</t>
    <phoneticPr fontId="2" type="noConversion"/>
  </si>
  <si>
    <t>wq2124</t>
    <phoneticPr fontId="2" type="noConversion"/>
  </si>
  <si>
    <t>Given the Market Data of the Volatility Smile by Delta for a One Year Option</t>
    <phoneticPr fontId="2" type="noConversion"/>
  </si>
  <si>
    <t>Delta</t>
    <phoneticPr fontId="2" type="noConversion"/>
  </si>
  <si>
    <t>Vol</t>
    <phoneticPr fontId="2" type="noConversion"/>
  </si>
  <si>
    <t>Input</t>
    <phoneticPr fontId="2" type="noConversion"/>
  </si>
  <si>
    <t>Interpolation Method</t>
    <phoneticPr fontId="2" type="noConversion"/>
  </si>
  <si>
    <t>Choose One</t>
    <phoneticPr fontId="2" type="noConversion"/>
  </si>
  <si>
    <t>Input Delta</t>
    <phoneticPr fontId="2" type="noConversion"/>
  </si>
  <si>
    <t>Output</t>
    <phoneticPr fontId="2" type="noConversion"/>
  </si>
  <si>
    <t>Vol</t>
    <phoneticPr fontId="2" type="noConversion"/>
  </si>
  <si>
    <t>Intermediate Calculations</t>
    <phoneticPr fontId="2" type="noConversion"/>
  </si>
  <si>
    <t>Tree</t>
    <phoneticPr fontId="2" type="noConversion"/>
  </si>
  <si>
    <t>Polynomial Interpolation</t>
  </si>
  <si>
    <t>Interpolated Smile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</si>
</sst>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宋体"/>
      <family val="2"/>
      <charset val="134"/>
      <scheme val="minor"/>
    </font>
    <font>
      <sz val="11"/>
      <color theme="9" tint="-0.499984740745262"/>
      <name val="Baskerville"/>
    </font>
    <font>
      <sz val="9"/>
      <name val="宋体"/>
      <family val="2"/>
      <charset val="134"/>
      <scheme val="minor"/>
    </font>
    <font>
      <sz val="12"/>
      <color theme="1"/>
      <name val="Baskerville"/>
    </font>
    <font>
      <b/>
      <sz val="10"/>
      <color rgb="FFFF0000"/>
      <name val="Baskerville"/>
    </font>
    <font>
      <sz val="12"/>
      <color rgb="FF000000"/>
      <name val="Osaka"/>
    </font>
    <font>
      <u/>
      <sz val="12"/>
      <color theme="10"/>
      <name val="宋体"/>
      <family val="2"/>
      <charset val="134"/>
      <scheme val="minor"/>
    </font>
    <font>
      <u/>
      <sz val="12"/>
      <color theme="11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b/>
      <sz val="12"/>
      <color theme="1"/>
      <name val="Baskerville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thin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1" xfId="0" applyFont="1" applyBorder="1"/>
    <xf numFmtId="0" fontId="3" fillId="0" borderId="0" xfId="0" applyFont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0" borderId="9" xfId="0" applyFont="1" applyBorder="1" applyAlignment="1">
      <alignment horizontal="left"/>
    </xf>
    <xf numFmtId="10" fontId="3" fillId="0" borderId="10" xfId="0" applyNumberFormat="1" applyFont="1" applyBorder="1" applyAlignment="1">
      <alignment horizontal="center"/>
    </xf>
    <xf numFmtId="10" fontId="3" fillId="0" borderId="11" xfId="0" applyNumberFormat="1" applyFont="1" applyBorder="1" applyAlignment="1">
      <alignment horizontal="center"/>
    </xf>
    <xf numFmtId="10" fontId="3" fillId="0" borderId="12" xfId="0" applyNumberFormat="1" applyFont="1" applyBorder="1" applyAlignment="1">
      <alignment horizontal="center"/>
    </xf>
    <xf numFmtId="0" fontId="3" fillId="0" borderId="0" xfId="0" applyFont="1" applyBorder="1"/>
    <xf numFmtId="10" fontId="3" fillId="0" borderId="0" xfId="0" applyNumberFormat="1" applyFont="1" applyBorder="1"/>
    <xf numFmtId="0" fontId="4" fillId="0" borderId="0" xfId="0" applyFont="1"/>
    <xf numFmtId="0" fontId="3" fillId="3" borderId="13" xfId="0" applyFont="1" applyFill="1" applyBorder="1"/>
    <xf numFmtId="0" fontId="3" fillId="3" borderId="14" xfId="0" applyFont="1" applyFill="1" applyBorder="1"/>
    <xf numFmtId="0" fontId="3" fillId="0" borderId="5" xfId="0" applyFont="1" applyFill="1" applyBorder="1"/>
    <xf numFmtId="0" fontId="3" fillId="0" borderId="16" xfId="0" applyFont="1" applyBorder="1"/>
    <xf numFmtId="0" fontId="3" fillId="0" borderId="17" xfId="0" applyFont="1" applyBorder="1"/>
    <xf numFmtId="0" fontId="3" fillId="0" borderId="20" xfId="0" applyFont="1" applyFill="1" applyBorder="1"/>
    <xf numFmtId="0" fontId="3" fillId="4" borderId="21" xfId="0" applyFont="1" applyFill="1" applyBorder="1"/>
    <xf numFmtId="10" fontId="3" fillId="5" borderId="22" xfId="0" applyNumberFormat="1" applyFont="1" applyFill="1" applyBorder="1"/>
    <xf numFmtId="0" fontId="3" fillId="0" borderId="21" xfId="0" applyFont="1" applyBorder="1"/>
    <xf numFmtId="0" fontId="3" fillId="0" borderId="22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1" xfId="0" applyFont="1" applyBorder="1"/>
    <xf numFmtId="0" fontId="3" fillId="0" borderId="27" xfId="0" applyFont="1" applyBorder="1"/>
    <xf numFmtId="0" fontId="3" fillId="0" borderId="28" xfId="0" applyFont="1" applyBorder="1"/>
    <xf numFmtId="0" fontId="3" fillId="0" borderId="9" xfId="0" applyFont="1" applyFill="1" applyBorder="1"/>
    <xf numFmtId="0" fontId="3" fillId="0" borderId="7" xfId="0" applyFont="1" applyFill="1" applyBorder="1"/>
    <xf numFmtId="0" fontId="3" fillId="0" borderId="0" xfId="0" applyFont="1" applyFill="1" applyBorder="1"/>
    <xf numFmtId="10" fontId="3" fillId="0" borderId="0" xfId="0" applyNumberFormat="1" applyFont="1" applyFill="1" applyBorder="1" applyAlignment="1">
      <alignment horizontal="center"/>
    </xf>
    <xf numFmtId="10" fontId="3" fillId="0" borderId="5" xfId="0" applyNumberFormat="1" applyFont="1" applyFill="1" applyBorder="1" applyAlignment="1">
      <alignment horizontal="right"/>
    </xf>
    <xf numFmtId="10" fontId="3" fillId="0" borderId="20" xfId="0" applyNumberFormat="1" applyFont="1" applyFill="1" applyBorder="1" applyAlignment="1">
      <alignment horizontal="right"/>
    </xf>
    <xf numFmtId="10" fontId="3" fillId="0" borderId="9" xfId="0" applyNumberFormat="1" applyFont="1" applyFill="1" applyBorder="1" applyAlignment="1">
      <alignment horizontal="right"/>
    </xf>
    <xf numFmtId="10" fontId="3" fillId="0" borderId="7" xfId="0" applyNumberFormat="1" applyFont="1" applyBorder="1"/>
    <xf numFmtId="10" fontId="3" fillId="0" borderId="18" xfId="0" applyNumberFormat="1" applyFont="1" applyBorder="1"/>
    <xf numFmtId="10" fontId="3" fillId="0" borderId="19" xfId="0" applyNumberFormat="1" applyFont="1" applyBorder="1"/>
    <xf numFmtId="10" fontId="3" fillId="0" borderId="23" xfId="0" applyNumberFormat="1" applyFont="1" applyBorder="1"/>
    <xf numFmtId="10" fontId="3" fillId="0" borderId="24" xfId="0" applyNumberFormat="1" applyFont="1" applyBorder="1"/>
    <xf numFmtId="10" fontId="3" fillId="5" borderId="0" xfId="0" applyNumberFormat="1" applyFont="1" applyFill="1" applyBorder="1"/>
    <xf numFmtId="10" fontId="3" fillId="5" borderId="23" xfId="0" applyNumberFormat="1" applyFont="1" applyFill="1" applyBorder="1"/>
    <xf numFmtId="10" fontId="3" fillId="5" borderId="24" xfId="0" applyNumberFormat="1" applyFont="1" applyFill="1" applyBorder="1"/>
    <xf numFmtId="0" fontId="0" fillId="0" borderId="4" xfId="0" applyBorder="1" applyAlignment="1"/>
    <xf numFmtId="0" fontId="3" fillId="0" borderId="13" xfId="0" applyFont="1" applyBorder="1" applyAlignment="1"/>
    <xf numFmtId="0" fontId="0" fillId="0" borderId="14" xfId="0" applyBorder="1" applyAlignment="1"/>
    <xf numFmtId="0" fontId="3" fillId="0" borderId="6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3" xfId="0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10" fontId="3" fillId="0" borderId="2" xfId="0" applyNumberFormat="1" applyFont="1" applyBorder="1" applyAlignment="1"/>
    <xf numFmtId="10" fontId="0" fillId="0" borderId="4" xfId="0" applyNumberFormat="1" applyBorder="1" applyAlignment="1"/>
    <xf numFmtId="0" fontId="0" fillId="0" borderId="15" xfId="0" applyBorder="1" applyAlignment="1"/>
    <xf numFmtId="0" fontId="9" fillId="2" borderId="2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0" borderId="4" xfId="0" applyFont="1" applyBorder="1" applyAlignment="1"/>
    <xf numFmtId="0" fontId="8" fillId="0" borderId="3" xfId="0" applyFont="1" applyBorder="1" applyAlignment="1"/>
  </cellXfs>
  <cellStyles count="11"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访问过的超链接" xfId="2" builtinId="9" hidden="1"/>
    <cellStyle name="访问过的超链接" xfId="4" builtinId="9" hidden="1"/>
    <cellStyle name="访问过的超链接" xfId="6" builtinId="9" hidden="1"/>
    <cellStyle name="访问过的超链接" xfId="8" builtinId="9" hidden="1"/>
    <cellStyle name="访问过的超链接" xfId="10" builtinId="9" hidden="1"/>
    <cellStyle name="普通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Worksheets1!$C$20</c:f>
              <c:strCache>
                <c:ptCount val="1"/>
                <c:pt idx="0">
                  <c:v>Interpolated Smile</c:v>
                </c:pt>
              </c:strCache>
            </c:strRef>
          </c:tx>
          <c:xVal>
            <c:numRef>
              <c:f>Worksheets1!$B$21:$B$61</c:f>
              <c:numCache>
                <c:formatCode>General</c:formatCode>
                <c:ptCount val="4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13.0</c:v>
                </c:pt>
                <c:pt idx="12">
                  <c:v>16.0</c:v>
                </c:pt>
                <c:pt idx="13">
                  <c:v>19.0</c:v>
                </c:pt>
                <c:pt idx="14">
                  <c:v>22.0</c:v>
                </c:pt>
                <c:pt idx="15">
                  <c:v>25.0</c:v>
                </c:pt>
                <c:pt idx="16">
                  <c:v>30.0</c:v>
                </c:pt>
                <c:pt idx="17">
                  <c:v>35.0</c:v>
                </c:pt>
                <c:pt idx="18">
                  <c:v>40.0</c:v>
                </c:pt>
                <c:pt idx="19">
                  <c:v>45.0</c:v>
                </c:pt>
                <c:pt idx="20">
                  <c:v>50.0</c:v>
                </c:pt>
                <c:pt idx="21">
                  <c:v>52.207086</c:v>
                </c:pt>
                <c:pt idx="22">
                  <c:v>54.414172</c:v>
                </c:pt>
                <c:pt idx="23">
                  <c:v>56.621258</c:v>
                </c:pt>
                <c:pt idx="24">
                  <c:v>58.828344</c:v>
                </c:pt>
                <c:pt idx="25">
                  <c:v>61.03543</c:v>
                </c:pt>
                <c:pt idx="26">
                  <c:v>64.03543000000001</c:v>
                </c:pt>
                <c:pt idx="27">
                  <c:v>67.03543000000001</c:v>
                </c:pt>
                <c:pt idx="28">
                  <c:v>70.03543000000001</c:v>
                </c:pt>
                <c:pt idx="29">
                  <c:v>73.03543000000001</c:v>
                </c:pt>
                <c:pt idx="30">
                  <c:v>76.03543000000001</c:v>
                </c:pt>
                <c:pt idx="31">
                  <c:v>77.03543000000001</c:v>
                </c:pt>
                <c:pt idx="32">
                  <c:v>78.03543000000001</c:v>
                </c:pt>
                <c:pt idx="33">
                  <c:v>79.03543000000001</c:v>
                </c:pt>
                <c:pt idx="34">
                  <c:v>80.03543000000001</c:v>
                </c:pt>
                <c:pt idx="35">
                  <c:v>81.03543000000001</c:v>
                </c:pt>
                <c:pt idx="36">
                  <c:v>82.03543000000001</c:v>
                </c:pt>
                <c:pt idx="37">
                  <c:v>83.03543000000001</c:v>
                </c:pt>
                <c:pt idx="38">
                  <c:v>84.03543000000001</c:v>
                </c:pt>
                <c:pt idx="39">
                  <c:v>85.03543000000001</c:v>
                </c:pt>
                <c:pt idx="40">
                  <c:v>86.03543000000001</c:v>
                </c:pt>
              </c:numCache>
            </c:numRef>
          </c:xVal>
          <c:yVal>
            <c:numRef>
              <c:f>Worksheets1!$C$21:$C$61</c:f>
              <c:numCache>
                <c:formatCode>0.00%</c:formatCode>
                <c:ptCount val="41"/>
                <c:pt idx="0">
                  <c:v>0.1714</c:v>
                </c:pt>
                <c:pt idx="1">
                  <c:v>0.170768093592494</c:v>
                </c:pt>
                <c:pt idx="2">
                  <c:v>0.16954161029685</c:v>
                </c:pt>
                <c:pt idx="3">
                  <c:v>0.167956470246895</c:v>
                </c:pt>
                <c:pt idx="4">
                  <c:v>0.166196318900917</c:v>
                </c:pt>
                <c:pt idx="5">
                  <c:v>0.1644</c:v>
                </c:pt>
                <c:pt idx="6">
                  <c:v>0.162668335744674</c:v>
                </c:pt>
                <c:pt idx="7">
                  <c:v>0.16107025280113</c:v>
                </c:pt>
                <c:pt idx="8">
                  <c:v>0.159648291751555</c:v>
                </c:pt>
                <c:pt idx="9">
                  <c:v>0.158423536606438</c:v>
                </c:pt>
                <c:pt idx="10">
                  <c:v>0.1574</c:v>
                </c:pt>
                <c:pt idx="11">
                  <c:v>0.155398842852758</c:v>
                </c:pt>
                <c:pt idx="12">
                  <c:v>0.154438607839196</c:v>
                </c:pt>
                <c:pt idx="13">
                  <c:v>0.15368031576835</c:v>
                </c:pt>
                <c:pt idx="14">
                  <c:v>0.152447120294936</c:v>
                </c:pt>
                <c:pt idx="15">
                  <c:v>0.1504</c:v>
                </c:pt>
                <c:pt idx="16">
                  <c:v>0.145406262747269</c:v>
                </c:pt>
                <c:pt idx="17">
                  <c:v>0.140155207702883</c:v>
                </c:pt>
                <c:pt idx="18">
                  <c:v>0.137169536600136</c:v>
                </c:pt>
                <c:pt idx="19">
                  <c:v>0.138102716826503</c:v>
                </c:pt>
                <c:pt idx="20">
                  <c:v>0.1428</c:v>
                </c:pt>
                <c:pt idx="21">
                  <c:v>0.145626729585933</c:v>
                </c:pt>
                <c:pt idx="22">
                  <c:v>0.14860470712081</c:v>
                </c:pt>
                <c:pt idx="23">
                  <c:v>0.151509254401981</c:v>
                </c:pt>
                <c:pt idx="24">
                  <c:v>0.15414951555285</c:v>
                </c:pt>
                <c:pt idx="25">
                  <c:v>0.1564</c:v>
                </c:pt>
                <c:pt idx="26">
                  <c:v>0.158794730887301</c:v>
                </c:pt>
                <c:pt idx="27">
                  <c:v>0.160688610878918</c:v>
                </c:pt>
                <c:pt idx="28">
                  <c:v>0.162754363928294</c:v>
                </c:pt>
                <c:pt idx="29">
                  <c:v>0.165979289058749</c:v>
                </c:pt>
                <c:pt idx="30">
                  <c:v>0.1714</c:v>
                </c:pt>
                <c:pt idx="31">
                  <c:v>0.173823397384835</c:v>
                </c:pt>
                <c:pt idx="32">
                  <c:v>0.176566138138707</c:v>
                </c:pt>
                <c:pt idx="33">
                  <c:v>0.179609352260655</c:v>
                </c:pt>
                <c:pt idx="34">
                  <c:v>0.182910870590272</c:v>
                </c:pt>
                <c:pt idx="35">
                  <c:v>0.1864</c:v>
                </c:pt>
                <c:pt idx="36">
                  <c:v>0.189971698374584</c:v>
                </c:pt>
                <c:pt idx="37">
                  <c:v>0.193480112204637</c:v>
                </c:pt>
                <c:pt idx="38">
                  <c:v>0.196731438624548</c:v>
                </c:pt>
                <c:pt idx="39">
                  <c:v>0.199476072728294</c:v>
                </c:pt>
                <c:pt idx="40">
                  <c:v>0.2014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02200"/>
        <c:axId val="2100811896"/>
      </c:scatterChart>
      <c:valAx>
        <c:axId val="2100802200"/>
        <c:scaling>
          <c:orientation val="maxMin"/>
        </c:scaling>
        <c:delete val="0"/>
        <c:axPos val="b"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2100811896"/>
        <c:crosses val="autoZero"/>
        <c:crossBetween val="midCat"/>
      </c:valAx>
      <c:valAx>
        <c:axId val="2100811896"/>
        <c:scaling>
          <c:orientation val="minMax"/>
        </c:scaling>
        <c:delete val="0"/>
        <c:axPos val="r"/>
        <c:majorGridlines/>
        <c:numFmt formatCode="0.00%" sourceLinked="1"/>
        <c:majorTickMark val="none"/>
        <c:minorTickMark val="none"/>
        <c:tickLblPos val="nextTo"/>
        <c:crossAx val="2100802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10</xdr:row>
          <xdr:rowOff>12700</xdr:rowOff>
        </xdr:from>
        <xdr:to>
          <xdr:col>4</xdr:col>
          <xdr:colOff>774700</xdr:colOff>
          <xdr:row>10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787400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39</xdr:row>
      <xdr:rowOff>38100</xdr:rowOff>
    </xdr:from>
    <xdr:to>
      <xdr:col>12</xdr:col>
      <xdr:colOff>812800</xdr:colOff>
      <xdr:row>60</xdr:row>
      <xdr:rowOff>177800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M70"/>
  <sheetViews>
    <sheetView tabSelected="1" workbookViewId="0">
      <selection activeCell="I14" sqref="I14"/>
    </sheetView>
  </sheetViews>
  <sheetFormatPr baseColWidth="10" defaultRowHeight="15" x14ac:dyDescent="0"/>
  <cols>
    <col min="1" max="16384" width="10.83203125" style="2"/>
  </cols>
  <sheetData>
    <row r="1" spans="1:11" ht="16" thickBot="1">
      <c r="A1" s="1" t="s">
        <v>0</v>
      </c>
      <c r="B1" s="1" t="s">
        <v>1</v>
      </c>
      <c r="C1" s="1" t="s">
        <v>2</v>
      </c>
    </row>
    <row r="2" spans="1:11" ht="16" thickTop="1"/>
    <row r="3" spans="1:11">
      <c r="B3" s="59" t="s">
        <v>3</v>
      </c>
      <c r="C3" s="60"/>
      <c r="D3" s="60"/>
      <c r="E3" s="60"/>
      <c r="F3" s="60"/>
      <c r="G3" s="60"/>
      <c r="H3" s="60"/>
      <c r="I3" s="60"/>
      <c r="J3" s="60"/>
      <c r="K3" s="61"/>
    </row>
    <row r="4" spans="1:11">
      <c r="B4" s="3" t="s">
        <v>4</v>
      </c>
      <c r="C4" s="4">
        <v>86.035430000000005</v>
      </c>
      <c r="D4" s="5">
        <v>81.035430000000005</v>
      </c>
      <c r="E4" s="5">
        <v>76.035430000000005</v>
      </c>
      <c r="F4" s="5">
        <v>61.035429999999998</v>
      </c>
      <c r="G4" s="5">
        <v>50</v>
      </c>
      <c r="H4" s="5">
        <v>25</v>
      </c>
      <c r="I4" s="5">
        <v>10</v>
      </c>
      <c r="J4" s="5">
        <v>5</v>
      </c>
      <c r="K4" s="6">
        <v>0</v>
      </c>
    </row>
    <row r="5" spans="1:11">
      <c r="B5" s="7" t="s">
        <v>5</v>
      </c>
      <c r="C5" s="8">
        <v>0.2014</v>
      </c>
      <c r="D5" s="9">
        <v>0.18640000000000001</v>
      </c>
      <c r="E5" s="9">
        <v>0.1714</v>
      </c>
      <c r="F5" s="9">
        <v>0.15640000000000001</v>
      </c>
      <c r="G5" s="9">
        <v>0.14280000000000001</v>
      </c>
      <c r="H5" s="9">
        <v>0.15040000000000001</v>
      </c>
      <c r="I5" s="9">
        <v>0.15740000000000001</v>
      </c>
      <c r="J5" s="9">
        <v>0.16439999999999999</v>
      </c>
      <c r="K5" s="10">
        <v>0.1714</v>
      </c>
    </row>
    <row r="6" spans="1:11">
      <c r="B6" s="11"/>
      <c r="C6" s="12"/>
      <c r="D6" s="12"/>
      <c r="E6" s="12"/>
      <c r="F6" s="12"/>
      <c r="G6" s="12"/>
      <c r="H6" s="12"/>
      <c r="I6" s="12"/>
      <c r="J6" s="12"/>
      <c r="K6" s="12"/>
    </row>
    <row r="8" spans="1:11">
      <c r="B8" s="59" t="s">
        <v>6</v>
      </c>
      <c r="C8" s="62"/>
      <c r="D8" s="62"/>
      <c r="E8" s="63"/>
    </row>
    <row r="9" spans="1:11">
      <c r="B9" s="45" t="s">
        <v>7</v>
      </c>
      <c r="C9" s="46"/>
      <c r="D9" s="47" t="s">
        <v>14</v>
      </c>
      <c r="E9" s="48"/>
      <c r="F9" s="13" t="s">
        <v>8</v>
      </c>
    </row>
    <row r="10" spans="1:11">
      <c r="B10" s="45" t="s">
        <v>4</v>
      </c>
      <c r="C10" s="46"/>
      <c r="D10" s="49">
        <v>45</v>
      </c>
      <c r="E10" s="50"/>
      <c r="F10" s="13" t="s">
        <v>9</v>
      </c>
    </row>
    <row r="11" spans="1:11">
      <c r="B11" s="55"/>
      <c r="C11" s="58"/>
      <c r="D11" s="54"/>
      <c r="E11" s="44"/>
    </row>
    <row r="12" spans="1:11">
      <c r="B12" s="11"/>
      <c r="C12" s="11"/>
      <c r="D12" s="11"/>
      <c r="E12" s="11"/>
    </row>
    <row r="13" spans="1:11">
      <c r="B13" s="11"/>
      <c r="C13" s="11"/>
      <c r="D13" s="11"/>
      <c r="E13" s="11"/>
    </row>
    <row r="15" spans="1:11">
      <c r="B15" s="59" t="s">
        <v>10</v>
      </c>
      <c r="C15" s="62"/>
      <c r="D15" s="62"/>
      <c r="E15" s="63"/>
    </row>
    <row r="16" spans="1:11">
      <c r="B16" s="55" t="s">
        <v>11</v>
      </c>
      <c r="C16" s="44"/>
      <c r="D16" s="56">
        <v>0.13810271682650319</v>
      </c>
      <c r="E16" s="57"/>
    </row>
    <row r="17" spans="2:13">
      <c r="B17" s="11"/>
      <c r="C17" s="11"/>
      <c r="D17" s="11"/>
      <c r="E17" s="11"/>
    </row>
    <row r="19" spans="2:13">
      <c r="B19" s="59" t="s">
        <v>12</v>
      </c>
      <c r="C19" s="62"/>
      <c r="D19" s="62"/>
      <c r="E19" s="62"/>
      <c r="F19" s="62"/>
      <c r="G19" s="62"/>
      <c r="H19" s="62"/>
      <c r="I19" s="62"/>
      <c r="J19" s="62"/>
      <c r="K19" s="62"/>
      <c r="L19" s="64"/>
      <c r="M19" s="63"/>
    </row>
    <row r="20" spans="2:13">
      <c r="B20" s="14"/>
      <c r="C20" s="15" t="s">
        <v>15</v>
      </c>
      <c r="D20" s="51" t="s">
        <v>13</v>
      </c>
      <c r="E20" s="52"/>
      <c r="F20" s="52"/>
      <c r="G20" s="52"/>
      <c r="H20" s="52"/>
      <c r="I20" s="52"/>
      <c r="J20" s="52"/>
      <c r="K20" s="52"/>
      <c r="L20" s="53"/>
      <c r="M20" s="44"/>
    </row>
    <row r="21" spans="2:13">
      <c r="B21" s="16">
        <v>0</v>
      </c>
      <c r="C21" s="33">
        <v>0.1714</v>
      </c>
      <c r="D21" s="17" t="s">
        <v>4</v>
      </c>
      <c r="E21" s="18" t="s">
        <v>11</v>
      </c>
      <c r="F21" s="36"/>
      <c r="G21" s="37"/>
      <c r="H21" s="36"/>
      <c r="I21" s="37"/>
      <c r="J21" s="36"/>
      <c r="K21" s="37"/>
      <c r="L21" s="36"/>
      <c r="M21" s="38"/>
    </row>
    <row r="22" spans="2:13">
      <c r="B22" s="19">
        <v>1</v>
      </c>
      <c r="C22" s="34">
        <v>0.17076809359249398</v>
      </c>
      <c r="D22" s="20">
        <f>K4</f>
        <v>0</v>
      </c>
      <c r="E22" s="21">
        <f>K5</f>
        <v>0.1714</v>
      </c>
      <c r="F22" s="12"/>
      <c r="G22" s="39"/>
      <c r="H22" s="12"/>
      <c r="I22" s="39"/>
      <c r="J22" s="12"/>
      <c r="K22" s="39"/>
      <c r="L22" s="12"/>
      <c r="M22" s="40"/>
    </row>
    <row r="23" spans="2:13">
      <c r="B23" s="19">
        <v>2</v>
      </c>
      <c r="C23" s="34">
        <v>0.16954161029685044</v>
      </c>
      <c r="D23" s="22"/>
      <c r="E23" s="23"/>
      <c r="F23" s="41">
        <v>0.10839999999999997</v>
      </c>
      <c r="G23" s="39"/>
      <c r="H23" s="12"/>
      <c r="I23" s="39"/>
      <c r="J23" s="12"/>
      <c r="K23" s="39"/>
      <c r="L23" s="12"/>
      <c r="M23" s="40"/>
    </row>
    <row r="24" spans="2:13">
      <c r="B24" s="19">
        <v>3</v>
      </c>
      <c r="C24" s="34">
        <v>0.16795647024689481</v>
      </c>
      <c r="D24" s="20">
        <f>J4</f>
        <v>5</v>
      </c>
      <c r="E24" s="21">
        <f>J5</f>
        <v>0.16439999999999999</v>
      </c>
      <c r="F24" s="12"/>
      <c r="G24" s="42">
        <v>0.10840000000000076</v>
      </c>
      <c r="H24" s="12"/>
      <c r="I24" s="39"/>
      <c r="J24" s="12"/>
      <c r="K24" s="39"/>
      <c r="L24" s="12"/>
      <c r="M24" s="40"/>
    </row>
    <row r="25" spans="2:13">
      <c r="B25" s="19">
        <v>4</v>
      </c>
      <c r="C25" s="34">
        <v>0.16619631890091671</v>
      </c>
      <c r="D25" s="22"/>
      <c r="E25" s="23"/>
      <c r="F25" s="41">
        <v>0.10840000000000014</v>
      </c>
      <c r="G25" s="39"/>
      <c r="H25" s="41">
        <v>0.22599999999999917</v>
      </c>
      <c r="I25" s="39"/>
      <c r="J25" s="12"/>
      <c r="K25" s="39"/>
      <c r="L25" s="12"/>
      <c r="M25" s="40"/>
    </row>
    <row r="26" spans="2:13">
      <c r="B26" s="19">
        <v>5</v>
      </c>
      <c r="C26" s="34">
        <v>0.16439999999999999</v>
      </c>
      <c r="D26" s="20">
        <f>I4</f>
        <v>10</v>
      </c>
      <c r="E26" s="21">
        <f>I5</f>
        <v>0.15740000000000001</v>
      </c>
      <c r="F26" s="12"/>
      <c r="G26" s="42">
        <v>0.17373333333333321</v>
      </c>
      <c r="H26" s="12"/>
      <c r="I26" s="42">
        <v>0.15510399999999994</v>
      </c>
      <c r="J26" s="12"/>
      <c r="K26" s="39"/>
      <c r="L26" s="12"/>
      <c r="M26" s="40"/>
    </row>
    <row r="27" spans="2:13">
      <c r="B27" s="19">
        <v>6</v>
      </c>
      <c r="C27" s="34">
        <v>0.16266833574467401</v>
      </c>
      <c r="D27" s="22"/>
      <c r="E27" s="23"/>
      <c r="F27" s="41">
        <v>0.14106666666666667</v>
      </c>
      <c r="G27" s="39"/>
      <c r="H27" s="41">
        <v>0.1472266666666667</v>
      </c>
      <c r="I27" s="39"/>
      <c r="J27" s="41">
        <v>0.14616036683188341</v>
      </c>
      <c r="K27" s="39"/>
      <c r="L27" s="12"/>
      <c r="M27" s="40"/>
    </row>
    <row r="28" spans="2:13">
      <c r="B28" s="19">
        <v>7</v>
      </c>
      <c r="C28" s="34">
        <v>0.16107025280112994</v>
      </c>
      <c r="D28" s="20">
        <f>H4</f>
        <v>25</v>
      </c>
      <c r="E28" s="21">
        <f>H5</f>
        <v>0.15040000000000001</v>
      </c>
      <c r="F28" s="12"/>
      <c r="G28" s="42">
        <v>0.14391333333333339</v>
      </c>
      <c r="H28" s="12"/>
      <c r="I28" s="42">
        <v>0.14297336675159431</v>
      </c>
      <c r="J28" s="12"/>
      <c r="K28" s="42">
        <v>0.14320575933270799</v>
      </c>
      <c r="L28" s="12"/>
      <c r="M28" s="40"/>
    </row>
    <row r="29" spans="2:13">
      <c r="B29" s="19">
        <v>8</v>
      </c>
      <c r="C29" s="34">
        <v>0.15964829175155526</v>
      </c>
      <c r="D29" s="22"/>
      <c r="E29" s="23"/>
      <c r="F29" s="41">
        <v>0.14432000000000003</v>
      </c>
      <c r="G29" s="39"/>
      <c r="H29" s="41">
        <v>0.14126827942516557</v>
      </c>
      <c r="I29" s="39"/>
      <c r="J29" s="41">
        <v>0.14116803679452722</v>
      </c>
      <c r="K29" s="39"/>
      <c r="L29" s="41">
        <v>0.14089559107068531</v>
      </c>
      <c r="M29" s="40"/>
    </row>
    <row r="30" spans="2:13">
      <c r="B30" s="19">
        <v>9</v>
      </c>
      <c r="C30" s="34">
        <v>0.15842353660643849</v>
      </c>
      <c r="D30" s="20">
        <f>G4</f>
        <v>50</v>
      </c>
      <c r="E30" s="21">
        <f>G5</f>
        <v>0.14280000000000001</v>
      </c>
      <c r="F30" s="12"/>
      <c r="G30" s="42">
        <v>0.14005643437400409</v>
      </c>
      <c r="H30" s="12"/>
      <c r="I30" s="42">
        <v>0.13976730700679077</v>
      </c>
      <c r="J30" s="12"/>
      <c r="K30" s="42">
        <v>0.13904563758858884</v>
      </c>
      <c r="L30" s="12"/>
      <c r="M30" s="43">
        <v>0.13810271682650319</v>
      </c>
    </row>
    <row r="31" spans="2:13">
      <c r="B31" s="19">
        <v>10</v>
      </c>
      <c r="C31" s="34">
        <v>0.15740000000000001</v>
      </c>
      <c r="D31" s="22"/>
      <c r="E31" s="23"/>
      <c r="F31" s="41">
        <v>0.13663802896670091</v>
      </c>
      <c r="G31" s="39"/>
      <c r="H31" s="41">
        <v>0.13843635488043646</v>
      </c>
      <c r="I31" s="39"/>
      <c r="J31" s="41">
        <v>0.13713359838814759</v>
      </c>
      <c r="K31" s="39"/>
      <c r="L31" s="41">
        <v>0.13555589914770455</v>
      </c>
      <c r="M31" s="40"/>
    </row>
    <row r="32" spans="2:13">
      <c r="B32" s="19">
        <v>13</v>
      </c>
      <c r="C32" s="34">
        <v>0.15539884285275832</v>
      </c>
      <c r="D32" s="20">
        <f>F4</f>
        <v>61.035429999999998</v>
      </c>
      <c r="E32" s="21">
        <f>F5</f>
        <v>0.15640000000000001</v>
      </c>
      <c r="F32" s="12"/>
      <c r="G32" s="42">
        <v>0.13592236169458383</v>
      </c>
      <c r="H32" s="12"/>
      <c r="I32" s="42">
        <v>0.13442197488621863</v>
      </c>
      <c r="J32" s="12"/>
      <c r="K32" s="42">
        <v>0.13197582620997417</v>
      </c>
      <c r="L32" s="12"/>
      <c r="M32" s="40"/>
    </row>
    <row r="33" spans="2:13">
      <c r="B33" s="19">
        <v>16</v>
      </c>
      <c r="C33" s="34">
        <v>0.154438607839196</v>
      </c>
      <c r="D33" s="22"/>
      <c r="E33" s="23"/>
      <c r="F33" s="41">
        <v>0.14036457000000005</v>
      </c>
      <c r="G33" s="39"/>
      <c r="H33" s="41">
        <v>0.12718897942246671</v>
      </c>
      <c r="I33" s="39"/>
      <c r="J33" s="41">
        <v>0.12592864337644893</v>
      </c>
      <c r="K33" s="39"/>
      <c r="L33" s="12"/>
      <c r="M33" s="40"/>
    </row>
    <row r="34" spans="2:13">
      <c r="B34" s="19">
        <v>19</v>
      </c>
      <c r="C34" s="34">
        <v>0.15368031576835003</v>
      </c>
      <c r="D34" s="20">
        <f>E4</f>
        <v>76.035430000000005</v>
      </c>
      <c r="E34" s="21">
        <f>E5</f>
        <v>0.1714</v>
      </c>
      <c r="F34" s="12"/>
      <c r="G34" s="42">
        <v>0.1901312165284901</v>
      </c>
      <c r="H34" s="12"/>
      <c r="I34" s="42">
        <v>0.10850226784465154</v>
      </c>
      <c r="J34" s="12"/>
      <c r="K34" s="39"/>
      <c r="L34" s="12"/>
      <c r="M34" s="40"/>
    </row>
    <row r="35" spans="2:13">
      <c r="B35" s="19">
        <v>22</v>
      </c>
      <c r="C35" s="34">
        <v>0.15244712029493648</v>
      </c>
      <c r="D35" s="22"/>
      <c r="E35" s="23"/>
      <c r="F35" s="41">
        <v>7.8293709999999989E-2</v>
      </c>
      <c r="G35" s="39"/>
      <c r="H35" s="41">
        <v>0.26186571682097626</v>
      </c>
      <c r="I35" s="39"/>
      <c r="J35" s="12"/>
      <c r="K35" s="39"/>
      <c r="L35" s="12"/>
      <c r="M35" s="40"/>
    </row>
    <row r="36" spans="2:13">
      <c r="B36" s="19">
        <v>25</v>
      </c>
      <c r="C36" s="34">
        <v>0.15040000000000001</v>
      </c>
      <c r="D36" s="20">
        <f>D4</f>
        <v>81.035430000000005</v>
      </c>
      <c r="E36" s="21">
        <f>D5</f>
        <v>0.18640000000000001</v>
      </c>
      <c r="F36" s="12"/>
      <c r="G36" s="42">
        <v>7.8293709999999489E-2</v>
      </c>
      <c r="H36" s="12"/>
      <c r="I36" s="39"/>
      <c r="J36" s="12"/>
      <c r="K36" s="39"/>
      <c r="L36" s="12"/>
      <c r="M36" s="40"/>
    </row>
    <row r="37" spans="2:13">
      <c r="B37" s="19">
        <v>30</v>
      </c>
      <c r="C37" s="34">
        <v>0.14540626274726937</v>
      </c>
      <c r="D37" s="22"/>
      <c r="E37" s="23"/>
      <c r="F37" s="41">
        <v>7.8293710000000155E-2</v>
      </c>
      <c r="G37" s="39"/>
      <c r="H37" s="12"/>
      <c r="I37" s="39"/>
      <c r="J37" s="12"/>
      <c r="K37" s="39"/>
      <c r="L37" s="12"/>
      <c r="M37" s="40"/>
    </row>
    <row r="38" spans="2:13">
      <c r="B38" s="19">
        <v>35</v>
      </c>
      <c r="C38" s="34">
        <v>0.14015520770288264</v>
      </c>
      <c r="D38" s="20">
        <f>C4</f>
        <v>86.035430000000005</v>
      </c>
      <c r="E38" s="21">
        <f>C5</f>
        <v>0.2014</v>
      </c>
      <c r="F38" s="12"/>
      <c r="G38" s="39"/>
      <c r="H38" s="12"/>
      <c r="I38" s="39"/>
      <c r="J38" s="12"/>
      <c r="K38" s="39"/>
      <c r="L38" s="12"/>
      <c r="M38" s="40"/>
    </row>
    <row r="39" spans="2:13">
      <c r="B39" s="19">
        <v>40</v>
      </c>
      <c r="C39" s="34">
        <v>0.13716953660013587</v>
      </c>
      <c r="D39" s="24"/>
      <c r="E39" s="25"/>
      <c r="F39" s="26"/>
      <c r="G39" s="27"/>
      <c r="H39" s="26"/>
      <c r="I39" s="27"/>
      <c r="J39" s="26"/>
      <c r="K39" s="27"/>
      <c r="L39" s="26"/>
      <c r="M39" s="28"/>
    </row>
    <row r="40" spans="2:13">
      <c r="B40" s="19">
        <v>45</v>
      </c>
      <c r="C40" s="34">
        <v>0.13810271682650319</v>
      </c>
    </row>
    <row r="41" spans="2:13">
      <c r="B41" s="19">
        <v>50</v>
      </c>
      <c r="C41" s="34">
        <v>0.14280000000000001</v>
      </c>
    </row>
    <row r="42" spans="2:13">
      <c r="B42" s="19">
        <v>52.207085999999997</v>
      </c>
      <c r="C42" s="34">
        <v>0.1456267295859327</v>
      </c>
    </row>
    <row r="43" spans="2:13">
      <c r="B43" s="19">
        <v>54.414172000000001</v>
      </c>
      <c r="C43" s="34">
        <v>0.14860470712081036</v>
      </c>
    </row>
    <row r="44" spans="2:13">
      <c r="B44" s="19">
        <v>56.621257999999997</v>
      </c>
      <c r="C44" s="34">
        <v>0.15150925440198151</v>
      </c>
    </row>
    <row r="45" spans="2:13">
      <c r="B45" s="19">
        <v>58.828344000000001</v>
      </c>
      <c r="C45" s="34">
        <v>0.15414951555284984</v>
      </c>
    </row>
    <row r="46" spans="2:13">
      <c r="B46" s="19">
        <v>61.035429999999998</v>
      </c>
      <c r="C46" s="34">
        <v>0.15640000000000001</v>
      </c>
    </row>
    <row r="47" spans="2:13">
      <c r="B47" s="19">
        <v>64.035430000000005</v>
      </c>
      <c r="C47" s="34">
        <v>0.15879473088730126</v>
      </c>
    </row>
    <row r="48" spans="2:13">
      <c r="B48" s="19">
        <v>67.035430000000005</v>
      </c>
      <c r="C48" s="34">
        <v>0.16068861087891778</v>
      </c>
    </row>
    <row r="49" spans="2:3">
      <c r="B49" s="19">
        <v>70.035430000000005</v>
      </c>
      <c r="C49" s="34">
        <v>0.16275436392829362</v>
      </c>
    </row>
    <row r="50" spans="2:3">
      <c r="B50" s="19">
        <v>73.035430000000005</v>
      </c>
      <c r="C50" s="34">
        <v>0.16597928905874859</v>
      </c>
    </row>
    <row r="51" spans="2:3">
      <c r="B51" s="19">
        <v>76.035430000000005</v>
      </c>
      <c r="C51" s="34">
        <v>0.1714</v>
      </c>
    </row>
    <row r="52" spans="2:3">
      <c r="B52" s="19">
        <v>77.035430000000005</v>
      </c>
      <c r="C52" s="34">
        <v>0.17382339738483549</v>
      </c>
    </row>
    <row r="53" spans="2:3">
      <c r="B53" s="19">
        <v>78.035430000000005</v>
      </c>
      <c r="C53" s="34">
        <v>0.17656613813870742</v>
      </c>
    </row>
    <row r="54" spans="2:3">
      <c r="B54" s="19">
        <v>79.035430000000005</v>
      </c>
      <c r="C54" s="34">
        <v>0.179609352260655</v>
      </c>
    </row>
    <row r="55" spans="2:3">
      <c r="B55" s="19">
        <v>80.035430000000005</v>
      </c>
      <c r="C55" s="34">
        <v>0.18291087059027208</v>
      </c>
    </row>
    <row r="56" spans="2:3">
      <c r="B56" s="19">
        <v>81.035430000000005</v>
      </c>
      <c r="C56" s="34">
        <v>0.18640000000000001</v>
      </c>
    </row>
    <row r="57" spans="2:3">
      <c r="B57" s="19">
        <v>82.035430000000005</v>
      </c>
      <c r="C57" s="34">
        <v>0.18997169837458433</v>
      </c>
    </row>
    <row r="58" spans="2:3">
      <c r="B58" s="19">
        <v>83.035430000000005</v>
      </c>
      <c r="C58" s="34">
        <v>0.19348011220463704</v>
      </c>
    </row>
    <row r="59" spans="2:3">
      <c r="B59" s="19">
        <v>84.035430000000005</v>
      </c>
      <c r="C59" s="34">
        <v>0.19673143862454781</v>
      </c>
    </row>
    <row r="60" spans="2:3">
      <c r="B60" s="19">
        <v>85.035430000000005</v>
      </c>
      <c r="C60" s="34">
        <v>0.19947607272829421</v>
      </c>
    </row>
    <row r="61" spans="2:3">
      <c r="B61" s="29">
        <v>86.035430000000005</v>
      </c>
      <c r="C61" s="35">
        <v>0.2014</v>
      </c>
    </row>
    <row r="62" spans="2:3">
      <c r="B62" s="30"/>
      <c r="C62" s="30"/>
    </row>
    <row r="63" spans="2:3">
      <c r="B63" s="31"/>
      <c r="C63" s="32"/>
    </row>
    <row r="64" spans="2:3">
      <c r="B64" s="31"/>
      <c r="C64" s="31"/>
    </row>
    <row r="65" spans="2:3">
      <c r="B65" s="31"/>
      <c r="C65" s="31"/>
    </row>
    <row r="66" spans="2:3">
      <c r="B66" s="31"/>
      <c r="C66" s="32"/>
    </row>
    <row r="67" spans="2:3">
      <c r="B67" s="31"/>
      <c r="C67" s="31"/>
    </row>
    <row r="68" spans="2:3">
      <c r="B68" s="31"/>
      <c r="C68" s="31"/>
    </row>
    <row r="69" spans="2:3">
      <c r="B69" s="31"/>
      <c r="C69" s="31"/>
    </row>
    <row r="70" spans="2:3">
      <c r="B70" s="31"/>
      <c r="C70" s="32"/>
    </row>
  </sheetData>
  <mergeCells count="13">
    <mergeCell ref="D20:M20"/>
    <mergeCell ref="D11:E11"/>
    <mergeCell ref="B15:E15"/>
    <mergeCell ref="B16:C16"/>
    <mergeCell ref="D16:E16"/>
    <mergeCell ref="B19:M19"/>
    <mergeCell ref="B11:C11"/>
    <mergeCell ref="B3:K3"/>
    <mergeCell ref="B8:E8"/>
    <mergeCell ref="B9:C9"/>
    <mergeCell ref="D9:E9"/>
    <mergeCell ref="B10:C10"/>
    <mergeCell ref="D10:E10"/>
  </mergeCells>
  <phoneticPr fontId="2" type="noConversion"/>
  <dataValidations count="1">
    <dataValidation type="list" allowBlank="1" showInputMessage="1" showErrorMessage="1" sqref="D9">
      <formula1>"Linear Interpolation, Polynomial Interpolation, Cubic Spline Interpolation"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alculate">
                <anchor moveWithCells="1" sizeWithCells="1">
                  <from>
                    <xdr:col>3</xdr:col>
                    <xdr:colOff>25400</xdr:colOff>
                    <xdr:row>10</xdr:row>
                    <xdr:rowOff>12700</xdr:rowOff>
                  </from>
                  <to>
                    <xdr:col>4</xdr:col>
                    <xdr:colOff>774700</xdr:colOff>
                    <xdr:row>10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_xludf.Clean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787400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Worksheets1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文竹 仇</dc:creator>
  <cp:lastModifiedBy>文竹 仇</cp:lastModifiedBy>
  <dcterms:created xsi:type="dcterms:W3CDTF">2015-03-06T04:20:39Z</dcterms:created>
  <dcterms:modified xsi:type="dcterms:W3CDTF">2015-03-07T03:08:00Z</dcterms:modified>
</cp:coreProperties>
</file>